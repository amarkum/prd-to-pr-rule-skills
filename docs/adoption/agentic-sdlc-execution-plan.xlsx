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Summary" sheetId="2" state="visible" r:id="rId4"/>
    <sheet name="Plan" sheetId="3" state="visible" r:id="rId5"/>
    <sheet name="Timeline" sheetId="4" state="visible" r:id="rId6"/>
    <sheet name="KPIs" sheetId="5" state="visible" r:id="rId7"/>
    <sheet name="Milestones" sheetId="6" state="visible" r:id="rId8"/>
    <sheet name="Decisions" sheetId="7" state="visible" r:id="rId9"/>
    <sheet name="Task force" sheetId="8" state="visible" r:id="rId10"/>
    <sheet name="Agent framework" sheetId="9" state="visible" r:id="rId11"/>
    <sheet name="Risks" sheetId="10" state="visible" r:id="rId12"/>
    <sheet name="Evidence" sheetId="11" state="visible" r:id="rId13"/>
  </sheets>
  <definedNames>
    <definedName function="false" hidden="false" localSheetId="2" name="_xlnm.Print_Titles" vbProcedure="false">Plan!$1:$1</definedName>
    <definedName function="false" hidden="true" localSheetId="2" name="_xlnm._FilterDatabase" vbProcedure="false">Plan!$A$1:$O$55</definedName>
    <definedName function="false" hidden="false" localSheetId="3" name="_xlnm.Print_Titles" vbProcedure="false">Timeline!$2:$4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Tracker</author>
  </authors>
  <commentList>
    <comment ref="K11" authorId="0">
      <text>
        <r>
          <rPr>
            <sz val="10"/>
            <rFont val="Arial"/>
            <family val="2"/>
          </rPr>
          <t xml:space="preserve">Role until the task force names a person (action 1.2).</t>
        </r>
      </text>
    </comment>
    <comment ref="K12" authorId="0">
      <text>
        <r>
          <rPr>
            <sz val="10"/>
            <rFont val="Arial"/>
            <family val="2"/>
          </rPr>
          <t xml:space="preserve">Role until the task force names a person (action 1.2).</t>
        </r>
      </text>
    </comment>
    <comment ref="K13" authorId="0">
      <text>
        <r>
          <rPr>
            <sz val="10"/>
            <rFont val="Arial"/>
            <family val="2"/>
          </rPr>
          <t xml:space="preserve">Role until the task force names a person (action 1.2).</t>
        </r>
      </text>
    </comment>
    <comment ref="K14" authorId="0">
      <text>
        <r>
          <rPr>
            <sz val="10"/>
            <rFont val="Arial"/>
            <family val="2"/>
          </rPr>
          <t xml:space="preserve">Role until the task force names a person (action 1.2).</t>
        </r>
      </text>
    </comment>
    <comment ref="K15" authorId="0">
      <text>
        <r>
          <rPr>
            <sz val="10"/>
            <rFont val="Arial"/>
            <family val="2"/>
          </rPr>
          <t xml:space="preserve">Role until the task force names a person (action 1.2).</t>
        </r>
      </text>
    </comment>
    <comment ref="K16" authorId="0">
      <text>
        <r>
          <rPr>
            <sz val="10"/>
            <rFont val="Arial"/>
            <family val="2"/>
          </rPr>
          <t xml:space="preserve">Role until the task force names a person (action 1.2).</t>
        </r>
      </text>
    </comment>
    <comment ref="K17" authorId="0">
      <text>
        <r>
          <rPr>
            <sz val="10"/>
            <rFont val="Arial"/>
            <family val="2"/>
          </rPr>
          <t xml:space="preserve">Role until the task force names a person (action 1.2).</t>
        </r>
      </text>
    </comment>
    <comment ref="K18" authorId="0">
      <text>
        <r>
          <rPr>
            <sz val="10"/>
            <rFont val="Arial"/>
            <family val="2"/>
          </rPr>
          <t xml:space="preserve">Role until the task force names a person (action 1.2).</t>
        </r>
      </text>
    </comment>
    <comment ref="K20" authorId="0">
      <text>
        <r>
          <rPr>
            <sz val="10"/>
            <rFont val="Arial"/>
            <family val="2"/>
          </rPr>
          <t xml:space="preserve">Role until the task force names a person (action 1.2).</t>
        </r>
      </text>
    </comment>
    <comment ref="K21" authorId="0">
      <text>
        <r>
          <rPr>
            <sz val="10"/>
            <rFont val="Arial"/>
            <family val="2"/>
          </rPr>
          <t xml:space="preserve">Role until the task force names a person (action 1.2).</t>
        </r>
      </text>
    </comment>
    <comment ref="K22" authorId="0">
      <text>
        <r>
          <rPr>
            <sz val="10"/>
            <rFont val="Arial"/>
            <family val="2"/>
          </rPr>
          <t xml:space="preserve">Role until the task force names a person (action 1.2).</t>
        </r>
      </text>
    </comment>
    <comment ref="K23" authorId="0">
      <text>
        <r>
          <rPr>
            <sz val="10"/>
            <rFont val="Arial"/>
            <family val="2"/>
          </rPr>
          <t xml:space="preserve">Role until the task force names a person (action 1.2).</t>
        </r>
      </text>
    </comment>
    <comment ref="K24" authorId="0">
      <text>
        <r>
          <rPr>
            <sz val="10"/>
            <rFont val="Arial"/>
            <family val="2"/>
          </rPr>
          <t xml:space="preserve">Role until the task force names a person (action 1.2).</t>
        </r>
      </text>
    </comment>
    <comment ref="K25" authorId="0">
      <text>
        <r>
          <rPr>
            <sz val="10"/>
            <rFont val="Arial"/>
            <family val="2"/>
          </rPr>
          <t xml:space="preserve">Role until the task force names a person (action 1.2).</t>
        </r>
      </text>
    </comment>
    <comment ref="K27" authorId="0">
      <text>
        <r>
          <rPr>
            <sz val="10"/>
            <rFont val="Arial"/>
            <family val="2"/>
          </rPr>
          <t xml:space="preserve">Role until the task force names a person (action 1.2).</t>
        </r>
      </text>
    </comment>
    <comment ref="K28" authorId="0">
      <text>
        <r>
          <rPr>
            <sz val="10"/>
            <rFont val="Arial"/>
            <family val="2"/>
          </rPr>
          <t xml:space="preserve">Role until the task force names a person (action 1.2).</t>
        </r>
      </text>
    </comment>
    <comment ref="K29" authorId="0">
      <text>
        <r>
          <rPr>
            <sz val="10"/>
            <rFont val="Arial"/>
            <family val="2"/>
          </rPr>
          <t xml:space="preserve">Role until the task force names a person (action 1.2).</t>
        </r>
      </text>
    </comment>
    <comment ref="K30" authorId="0">
      <text>
        <r>
          <rPr>
            <sz val="10"/>
            <rFont val="Arial"/>
            <family val="2"/>
          </rPr>
          <t xml:space="preserve">Role until the task force names a person (action 1.2).</t>
        </r>
      </text>
    </comment>
    <comment ref="K31" authorId="0">
      <text>
        <r>
          <rPr>
            <sz val="10"/>
            <rFont val="Arial"/>
            <family val="2"/>
          </rPr>
          <t xml:space="preserve">Role until the task force names a person (action 1.2).</t>
        </r>
      </text>
    </comment>
    <comment ref="K32" authorId="0">
      <text>
        <r>
          <rPr>
            <sz val="10"/>
            <rFont val="Arial"/>
            <family val="2"/>
          </rPr>
          <t xml:space="preserve">Role until the task force names a person (action 1.2).</t>
        </r>
      </text>
    </comment>
    <comment ref="K33" authorId="0">
      <text>
        <r>
          <rPr>
            <sz val="10"/>
            <rFont val="Arial"/>
            <family val="2"/>
          </rPr>
          <t xml:space="preserve">Role until the task force names a person (action 1.2).</t>
        </r>
      </text>
    </comment>
    <comment ref="K34" authorId="0">
      <text>
        <r>
          <rPr>
            <sz val="10"/>
            <rFont val="Arial"/>
            <family val="2"/>
          </rPr>
          <t xml:space="preserve">Role until the task force names a person (action 1.2).</t>
        </r>
      </text>
    </comment>
    <comment ref="K36" authorId="0">
      <text>
        <r>
          <rPr>
            <sz val="10"/>
            <rFont val="Arial"/>
            <family val="2"/>
          </rPr>
          <t xml:space="preserve">Role until the task force names a person (action 1.2).</t>
        </r>
      </text>
    </comment>
    <comment ref="K39" authorId="0">
      <text>
        <r>
          <rPr>
            <sz val="10"/>
            <rFont val="Arial"/>
            <family val="2"/>
          </rPr>
          <t xml:space="preserve">Role until the task force names a person (action 1.2).</t>
        </r>
      </text>
    </comment>
    <comment ref="K40" authorId="0">
      <text>
        <r>
          <rPr>
            <sz val="10"/>
            <rFont val="Arial"/>
            <family val="2"/>
          </rPr>
          <t xml:space="preserve">Role until the task force names a person (action 1.2).</t>
        </r>
      </text>
    </comment>
    <comment ref="K44" authorId="0">
      <text>
        <r>
          <rPr>
            <sz val="10"/>
            <rFont val="Arial"/>
            <family val="2"/>
          </rPr>
          <t xml:space="preserve">Role until the task force names a person (action 1.2).</t>
        </r>
      </text>
    </comment>
    <comment ref="K47" authorId="0">
      <text>
        <r>
          <rPr>
            <sz val="10"/>
            <rFont val="Arial"/>
            <family val="2"/>
          </rPr>
          <t xml:space="preserve">Role until the task force names a person (action 1.2).</t>
        </r>
      </text>
    </comment>
    <comment ref="K48" authorId="0">
      <text>
        <r>
          <rPr>
            <sz val="10"/>
            <rFont val="Arial"/>
            <family val="2"/>
          </rPr>
          <t xml:space="preserve">Role until the task force names a person (action 1.2).</t>
        </r>
      </text>
    </comment>
    <comment ref="K49" authorId="0">
      <text>
        <r>
          <rPr>
            <sz val="10"/>
            <rFont val="Arial"/>
            <family val="2"/>
          </rPr>
          <t xml:space="preserve">Role until the task force names a person (action 1.2).</t>
        </r>
      </text>
    </comment>
    <comment ref="K50" authorId="0">
      <text>
        <r>
          <rPr>
            <sz val="10"/>
            <rFont val="Arial"/>
            <family val="2"/>
          </rPr>
          <t xml:space="preserve">Role until the task force names a person (action 1.2).</t>
        </r>
      </text>
    </comment>
    <comment ref="K51" authorId="0">
      <text>
        <r>
          <rPr>
            <sz val="10"/>
            <rFont val="Arial"/>
            <family val="2"/>
          </rPr>
          <t xml:space="preserve">Role until the task force names a person (action 1.2).</t>
        </r>
      </text>
    </comment>
    <comment ref="K53" authorId="0">
      <text>
        <r>
          <rPr>
            <sz val="10"/>
            <rFont val="Arial"/>
            <family val="2"/>
          </rPr>
          <t xml:space="preserve">Role until the task force names a person (action 1.2).</t>
        </r>
      </text>
    </comment>
    <comment ref="K54" authorId="0">
      <text>
        <r>
          <rPr>
            <sz val="10"/>
            <rFont val="Arial"/>
            <family val="2"/>
          </rPr>
          <t xml:space="preserve">Role until the task force names a person (action 1.2).</t>
        </r>
      </text>
    </comment>
  </commentList>
</comments>
</file>

<file path=xl/comments5.xml><?xml version="1.0" encoding="utf-8"?>
<comments xmlns="http://schemas.openxmlformats.org/spreadsheetml/2006/main" xmlns:xdr="http://schemas.openxmlformats.org/drawingml/2006/spreadsheetDrawing">
  <authors>
    <author>Tracker</author>
  </authors>
  <commentList>
    <comment ref="F16" authorId="0">
      <text>
        <r>
          <rPr>
            <sz val="10"/>
            <rFont val="Arial"/>
            <family val="2"/>
          </rPr>
          <t xml:space="preserve">48 repos in scope, from the company plan (23 Oct 2026 call).</t>
        </r>
      </text>
    </comment>
    <comment ref="F29" authorId="0">
      <text>
        <r>
          <rPr>
            <sz val="10"/>
            <rFont val="Arial"/>
            <family val="2"/>
          </rPr>
          <t xml:space="preserve">From the company strategy document, as discussed on the 23 Oct 2026 call.</t>
        </r>
      </text>
    </comment>
  </commentList>
</comments>
</file>

<file path=xl/sharedStrings.xml><?xml version="1.0" encoding="utf-8"?>
<sst xmlns="http://schemas.openxmlformats.org/spreadsheetml/2006/main" count="1425" uniqueCount="842">
  <si>
    <t xml:space="preserve">Agentic SDLC: execution plan and tracker</t>
  </si>
  <si>
    <t xml:space="preserve">v1 draft · Fri 23 Oct 2026 · for the biweekly review on Mon 26 Oct 2026 · owner: Amar Kumar (transformation lead)</t>
  </si>
  <si>
    <t xml:space="preserve">What this is</t>
  </si>
  <si>
    <t xml:space="preserve">The execution plan for the Agentic SDLC program: major areas, actions with sub-steps, measurable outputs, current status, dates, owners and the support each action needs. The plan page (index.html) explains the why; this file tracks the how and when.</t>
  </si>
  <si>
    <t xml:space="preserve">Sheets</t>
  </si>
  <si>
    <t xml:space="preserve">Summary: status by area. Plan: the tracker. Timeline: weekly view built from the Plan dates. KPIs: baselines and targets. Milestones: key dates and autonomy stages. Decisions: what we need from leadership. Task force: roles. Agent framework: the agents and what they merge. Risks. Evidence: industry practice with sources.</t>
  </si>
  <si>
    <t xml:space="preserve">Weekly update</t>
  </si>
  <si>
    <t xml:space="preserve">Every Friday by 17:00 the action owner updates Plan columns F (current status), G (status) and H (RAG). Dates change only with a decision at the biweekly review; note the reason in Remarks. IDs never change.</t>
  </si>
  <si>
    <t xml:space="preserve">Status values</t>
  </si>
  <si>
    <t xml:space="preserve">Not started · In progress · Ongoing · Done · Blocked.</t>
  </si>
  <si>
    <t xml:space="preserve">RAG</t>
  </si>
  <si>
    <t xml:space="preserve">Green: on track. Amber: at risk; the recovery step is in Remarks. Red: will miss its date without a decision; raise it at the next review.</t>
  </si>
  <si>
    <t xml:space="preserve">Cell colours</t>
  </si>
  <si>
    <t xml:space="preserve">Yellow fill: still to fill in (names, baselines). Blue numbers on the KPIs sheet: targets you can change. Black numbers: formulas; do not type over them. Green numbers: links to another sheet.</t>
  </si>
  <si>
    <t xml:space="preserve">Sources</t>
  </si>
  <si>
    <t xml:space="preserve">Targets 27/48 → 40/48 repos by November → 48/48 by January, the 1.3x multiple against a 10x aspiration, the single pilot team, the agent framework from December and the autonomy stages come from the company strategy document as discussed on the call with the program sponsor on Fri 23 Oct 2026. Everything else marked 'Proposed' is a recommendation to confirm on Mon 26 Oct.</t>
  </si>
  <si>
    <t xml:space="preserve">Assumptions</t>
  </si>
  <si>
    <t xml:space="preserve">Biweekly reviews with the executive sponsor every other Monday from Mon 26 Oct 2026. Task force in place by Mon 2 Nov 2026. Low capacity from Mon 21 Dec 2026 to Fri 1 Jan 2027. Diwali week in November may move the Mon 9 Nov review. All weekdays were checked against the calendar.</t>
  </si>
  <si>
    <t xml:space="preserve">Related files</t>
  </si>
  <si>
    <t xml:space="preserve">In the prd-to-pr-rule-skills repo: docs/adoption/index.html (plan page), docs/adoption/vision.md (source vision), docs/adoption/starter-kit/ (reference hooks, skills, subagents, templates and eval harness), and plugins/ (the standard that ships to every machine).</t>
  </si>
  <si>
    <t xml:space="preserve">Status by area</t>
  </si>
  <si>
    <t xml:space="preserve">Every number on this sheet is a formula over the Plan sheet.</t>
  </si>
  <si>
    <t xml:space="preserve">Area</t>
  </si>
  <si>
    <t xml:space="preserve">Actions</t>
  </si>
  <si>
    <t xml:space="preserve">Done</t>
  </si>
  <si>
    <t xml:space="preserve">In progress</t>
  </si>
  <si>
    <t xml:space="preserve">Ongoing</t>
  </si>
  <si>
    <t xml:space="preserve">Not started</t>
  </si>
  <si>
    <t xml:space="preserve">Blocked</t>
  </si>
  <si>
    <t xml:space="preserve">Amber</t>
  </si>
  <si>
    <t xml:space="preserve">Red</t>
  </si>
  <si>
    <t xml:space="preserve">% done</t>
  </si>
  <si>
    <t xml:space="preserve">Next open finish date</t>
  </si>
  <si>
    <t xml:space="preserve">1. Program and task force</t>
  </si>
  <si>
    <t xml:space="preserve">2. Measurement and baseline</t>
  </si>
  <si>
    <t xml:space="preserve">3. Standardize repositories</t>
  </si>
  <si>
    <t xml:space="preserve">4. Agent framework</t>
  </si>
  <si>
    <t xml:space="preserve">5. Agentic SDLC workflow</t>
  </si>
  <si>
    <t xml:space="preserve">6. Product builder</t>
  </si>
  <si>
    <t xml:space="preserve">7. Security and operations</t>
  </si>
  <si>
    <t xml:space="preserve">8. Scale and ROI</t>
  </si>
  <si>
    <t xml:space="preserve">All areas</t>
  </si>
  <si>
    <t xml:space="preserve">This week</t>
  </si>
  <si>
    <t xml:space="preserve">Open actions due in the next 14 days</t>
  </si>
  <si>
    <t xml:space="preserve">Open actions past their finish date</t>
  </si>
  <si>
    <t xml:space="preserve">Repos meeting the standard: baseline</t>
  </si>
  <si>
    <t xml:space="preserve">Repos meeting the standard: target Mon 30 Nov 2026</t>
  </si>
  <si>
    <t xml:space="preserve">Repos meeting the standard: target Fri 29 Jan 2027</t>
  </si>
  <si>
    <t xml:space="preserve">Next biweekly review</t>
  </si>
  <si>
    <t xml:space="preserve">ID</t>
  </si>
  <si>
    <t xml:space="preserve">Action</t>
  </si>
  <si>
    <t xml:space="preserve">Sub-steps</t>
  </si>
  <si>
    <t xml:space="preserve">Measurable output (done when)</t>
  </si>
  <si>
    <t xml:space="preserve">Current status (23 Oct 2026)</t>
  </si>
  <si>
    <t xml:space="preserve">Status</t>
  </si>
  <si>
    <t xml:space="preserve">Start</t>
  </si>
  <si>
    <t xml:space="preserve">Planned finish</t>
  </si>
  <si>
    <t xml:space="preserve">Owner</t>
  </si>
  <si>
    <t xml:space="preserve">Support needed</t>
  </si>
  <si>
    <t xml:space="preserve">Depends on</t>
  </si>
  <si>
    <t xml:space="preserve">Stage</t>
  </si>
  <si>
    <t xml:space="preserve">Remarks</t>
  </si>
  <si>
    <t xml:space="preserve">1.1</t>
  </si>
  <si>
    <t xml:space="preserve">Review plan v1 at the biweekly review</t>
  </si>
  <si>
    <t xml:space="preserve">Walk through this tracker and the plan page; confirm targets (40/48 repos by 30 Nov, 48/48 by 29 Jan, framework v1 by 18 Dec); take decisions D1–D5; log changes.</t>
  </si>
  <si>
    <t xml:space="preserve">Plan v1 accepted, or a dated change list; decisions recorded on the Decisions sheet.</t>
  </si>
  <si>
    <t xml:space="preserve">Draft ready Fri 23 Oct; sponsor review over the weekend.</t>
  </si>
  <si>
    <t xml:space="preserve">Green</t>
  </si>
  <si>
    <t xml:space="preserve">Amar (lead)</t>
  </si>
  <si>
    <t xml:space="preserve">Sponsor review before Monday; 30 minutes in the executive sponsor's review.</t>
  </si>
  <si>
    <t xml:space="preserve">Program</t>
  </si>
  <si>
    <t xml:space="preserve">Final version on Monday morning; share the draft earlier if asked.</t>
  </si>
  <si>
    <t xml:space="preserve">1.2</t>
  </si>
  <si>
    <t xml:space="preserve">Form the task force</t>
  </si>
  <si>
    <t xml:space="preserve">Agree roles and allocation (Task force sheet); nominations from the engineering people leads; the executive sponsor approves; add members to the 11:00 meeting.</t>
  </si>
  <si>
    <t xml:space="preserve">6–7 named members, at least 50% allocated from Mon 2 Nov 2026 to Fri 29 Jan 2027, approved by the executive sponsor.</t>
  </si>
  <si>
    <t xml:space="preserve">People leads agreed to provide people; names not confirmed.</t>
  </si>
  <si>
    <t xml:space="preserve">Program sponsor</t>
  </si>
  <si>
    <t xml:space="preserve">Nominations: engineering people leads. Approval: executive sponsor.</t>
  </si>
  <si>
    <t xml:space="preserve">1.3</t>
  </si>
  <si>
    <t xml:space="preserve">Kick off the task force</t>
  </si>
  <si>
    <t xml:space="preserve">Walk through the plan, the roles, the standard and the starter kit; every member takes first-week actions.</t>
  </si>
  <si>
    <t xml:space="preserve">Kickoff held; every member owns at least one action in this tracker.</t>
  </si>
  <si>
    <t xml:space="preserve">Not scheduled.</t>
  </si>
  <si>
    <t xml:space="preserve">Task force members.</t>
  </si>
  <si>
    <t xml:space="preserve">1.4</t>
  </si>
  <si>
    <t xml:space="preserve">Run the program cadence</t>
  </si>
  <si>
    <t xml:space="preserve">Daily 11:00 task-force stand-up; Friday demo; biweekly review with the executive sponsor; this tracker as the single source of truth, updated every Friday; decision and risk logs.</t>
  </si>
  <si>
    <t xml:space="preserve">Cadence running from Thu 29 Oct; tracker updated every Friday by 17:00; every review starts from the tracker.</t>
  </si>
  <si>
    <t xml:space="preserve">11:00 meeting and biweekly review already exist.</t>
  </si>
  <si>
    <t xml:space="preserve">Members join the 11:00 meeting.</t>
  </si>
  <si>
    <t xml:space="preserve">Ongoing for the whole program.</t>
  </si>
  <si>
    <t xml:space="preserve">1.5</t>
  </si>
  <si>
    <t xml:space="preserve">Inventory and consolidate existing agent efforts</t>
  </si>
  <si>
    <t xml:space="preserve">List every agent, skill, prompt library and bot built across teams, including the security, operations and requirement-analysis agents; record owner, purpose, users and tech; decide merge, keep or retire; invite owners to contribute through the framework.</t>
  </si>
  <si>
    <t xml:space="preserve">Inventory with a decision for every item; no new standalone agents outside the framework after Fri 6 Nov.</t>
  </si>
  <si>
    <t xml:space="preserve">Several teams have built agents on their own.</t>
  </si>
  <si>
    <t xml:space="preserve">Team leads share what exists; The executive sponsor backs the one-framework rule (D3).</t>
  </si>
  <si>
    <t xml:space="preserve">1.6</t>
  </si>
  <si>
    <t xml:space="preserve">Lead focus and working arrangement</t>
  </si>
  <si>
    <t xml:space="preserve">Pause other work (for example Kompactor) until Fri 29 Jan 2027; spend 2–3 days a week on site with the sponsor during November.</t>
  </si>
  <si>
    <t xml:space="preserve">Lead's time fully on this program; on-site days in the calendar.</t>
  </si>
  <si>
    <t xml:space="preserve">Agreed in principle on the 23 Oct call.</t>
  </si>
  <si>
    <t xml:space="preserve">Sponsor; executive sponsor informed.</t>
  </si>
  <si>
    <t xml:space="preserve">Requested by the executive sponsor.</t>
  </si>
  <si>
    <t xml:space="preserve">1.7</t>
  </si>
  <si>
    <t xml:space="preserve">Industry evidence pack</t>
  </si>
  <si>
    <t xml:space="preserve">Condense the company research already in this repo (docs/research.md: 29 sourced cases including Stripe, Spotify, Ramp, Uber and Airbnb) and vendor practice (Anthropic, OpenAI, Google) on skills, plugins and agents into one page with sources.</t>
  </si>
  <si>
    <t xml:space="preserve">One-page evidence pack with cited sources, presented at the Mon 9 Nov review.</t>
  </si>
  <si>
    <t xml:space="preserve">Research done (docs/research.md, companies page); key facts on the Evidence sheet.</t>
  </si>
  <si>
    <t xml:space="preserve">Use it wherever the plan differs from a stated preference.</t>
  </si>
  <si>
    <t xml:space="preserve">1.8</t>
  </si>
  <si>
    <t xml:space="preserve">Align the strategy document</t>
  </si>
  <si>
    <t xml:space="preserve">Answer the open review comments; link this tracker from the path-forward section; keep one set of targets across the document, the plan page and this tracker.</t>
  </si>
  <si>
    <t xml:space="preserve">Comments resolved; document, page and tracker show the same targets and dates.</t>
  </si>
  <si>
    <t xml:space="preserve">Comments open on the strategy document.</t>
  </si>
  <si>
    <t xml:space="preserve">1.9</t>
  </si>
  <si>
    <t xml:space="preserve">Engineering-wide communication</t>
  </si>
  <si>
    <t xml:space="preserve">Announce the program, the standard and how to contribute; monthly showcase of the multi-agent lifecycle on a real change.</t>
  </si>
  <si>
    <t xml:space="preserve">Announcement sent by Fri 6 Nov; first showcase Fri 18 Dec; monthly after that.</t>
  </si>
  <si>
    <t xml:space="preserve">Not started.</t>
  </si>
  <si>
    <t xml:space="preserve">Lead prepares the content.</t>
  </si>
  <si>
    <t xml:space="preserve">2.1</t>
  </si>
  <si>
    <t xml:space="preserve">Lock the baseline from internal analytics</t>
  </si>
  <si>
    <t xml:space="preserve">Pull May–Oct 2026 per team: AI code share, change lead time (requirement to PR), epic lead time, PR throughput and success, defect resolution time, adoption scorecard, the 1.3x multiple; write definitions v1.</t>
  </si>
  <si>
    <t xml:space="preserve">Baseline values entered on the KPIs sheet; definitions v1 signed off by the sponsor.</t>
  </si>
  <si>
    <t xml:space="preserve">Numbers exist in internal analytics at pod level; definitions not locked.</t>
  </si>
  <si>
    <t xml:space="preserve">Measurement analyst (TF)</t>
  </si>
  <si>
    <t xml:space="preserve">Access to the analytics dashboards and data (D9).</t>
  </si>
  <si>
    <t xml:space="preserve">Measure</t>
  </si>
  <si>
    <t xml:space="preserve">2.2</t>
  </si>
  <si>
    <t xml:space="preserve">Measure AI code share in production</t>
  </si>
  <si>
    <t xml:space="preserve">Agree the method: lines in AI-authored commits and PRs merged to main (Claude Code commit attribution plus OpenTelemetry) divided by all merged lines; keep attribution on through managed settings; dashboard by repo, team and month.</t>
  </si>
  <si>
    <t xml:space="preserve">Dashboard live with weekly refresh; method written down; baseline recorded.</t>
  </si>
  <si>
    <t xml:space="preserve">Named as the top company metric; production-level method not agreed.</t>
  </si>
  <si>
    <t xml:space="preserve">Platform team for managed settings; analytics team for the dashboard.</t>
  </si>
  <si>
    <t xml:space="preserve">2.1, 7.2</t>
  </si>
  <si>
    <t xml:space="preserve">2.3</t>
  </si>
  <si>
    <t xml:space="preserve">Feature-level flow records for the pilot team</t>
  </si>
  <si>
    <t xml:space="preserve">Adopt the feature-record schema (starter kit); join tracker, GitHub, deploy and telemetry data; per feature: request, intent, PR, production, impact.</t>
  </si>
  <si>
    <t xml:space="preserve">100% of the pilot team's features have a record from Tue 1 Dec 2026.</t>
  </si>
  <si>
    <t xml:space="preserve">Epic lead time is measured at pod level only.</t>
  </si>
  <si>
    <t xml:space="preserve">Jira and GitHub admin access.</t>
  </si>
  <si>
    <t xml:space="preserve">Replaces pod-level epic lead time.</t>
  </si>
  <si>
    <t xml:space="preserve">2.4</t>
  </si>
  <si>
    <t xml:space="preserve">Scale feature-level records</t>
  </si>
  <si>
    <t xml:space="preserve">Extend the records to each onboarded team; flag whether each change went through the standard workflow.</t>
  </si>
  <si>
    <t xml:space="preserve">4–5 backend teams covered by Fri 29 Jan 2027; all teams by Fri 30 Apr 2027.</t>
  </si>
  <si>
    <t xml:space="preserve">2.5</t>
  </si>
  <si>
    <t xml:space="preserve">Claude Code telemetry for every builder</t>
  </si>
  <si>
    <t xml:space="preserve">OpenTelemetry export with team tags through managed settings; join to the feature records; cost per team and per change.</t>
  </si>
  <si>
    <t xml:space="preserve">At least 90% of sessions tagged by team; cost per successful change reported monthly.</t>
  </si>
  <si>
    <t xml:space="preserve">Not confirmed whether telemetry is exported today.</t>
  </si>
  <si>
    <t xml:space="preserve">Platform/DevEx (TF)</t>
  </si>
  <si>
    <t xml:space="preserve">IT for managed settings; observability team for the collector.</t>
  </si>
  <si>
    <t xml:space="preserve">7.2</t>
  </si>
  <si>
    <t xml:space="preserve">2.6</t>
  </si>
  <si>
    <t xml:space="preserve">Effort-distribution baseline</t>
  </si>
  <si>
    <t xml:space="preserve">Classify the last two quarters of work into feature, defect, maintenance, risk reduction, tech debt and operational support with Claude; audit 40 rows by hand.</t>
  </si>
  <si>
    <t xml:space="preserve">Shares per team; audit agreement at least 85%.</t>
  </si>
  <si>
    <t xml:space="preserve">2.7</t>
  </si>
  <si>
    <t xml:space="preserve">Monthly gap report and scorecard</t>
  </si>
  <si>
    <t xml:space="preserve">0–10 per pillar with evidence; KPI trend against baseline; RAG per wave; the three decisions leadership needs. Claude drafts, owner reviews.</t>
  </si>
  <si>
    <t xml:space="preserve">First report Fri 4 Dec 2026, then the first Friday of each month (Fri 8 Jan in January).</t>
  </si>
  <si>
    <t xml:space="preserve">Gap assessment exists in the strategy document.</t>
  </si>
  <si>
    <t xml:space="preserve">Ongoing.</t>
  </si>
  <si>
    <t xml:space="preserve">2.8</t>
  </si>
  <si>
    <t xml:space="preserve">Adoption hygiene</t>
  </si>
  <si>
    <t xml:space="preserve">Named list of inactive builders with reasons; enablement for each; stop presenting adoption as the growth metric.</t>
  </si>
  <si>
    <t xml:space="preserve">At least 95% of builders active weekly, or a named exception.</t>
  </si>
  <si>
    <t xml:space="preserve">Adoption is high; exceptions not tracked by name.</t>
  </si>
  <si>
    <t xml:space="preserve">Engineering managers.</t>
  </si>
  <si>
    <t xml:space="preserve">Stage 1</t>
  </si>
  <si>
    <t xml:space="preserve">3.1</t>
  </si>
  <si>
    <t xml:space="preserve">Publish standard v2</t>
  </si>
  <si>
    <t xml:space="preserve">CLAUDE.md template, shared rules, make build/lint/test/verify, known traps, must-not-change rules; review with the 4–5 backend team leads.</t>
  </si>
  <si>
    <t xml:space="preserve">Standard v2 published and approved by the backend team leads.</t>
  </si>
  <si>
    <t xml:space="preserve">A standard exists; 27 of 48 repos meet it.</t>
  </si>
  <si>
    <t xml:space="preserve">Backend team leads review.</t>
  </si>
  <si>
    <t xml:space="preserve">Stage 4</t>
  </si>
  <si>
    <t xml:space="preserve">3.2</t>
  </si>
  <si>
    <t xml:space="preserve">Automate the repo scorecard</t>
  </si>
  <si>
    <t xml:space="preserve">CI check that scores each repo: CLAUDE.md sections, rules, make targets, guard hooks, frozen-test list, CODEOWNERS on guardrail files; weekly dashboard.</t>
  </si>
  <si>
    <t xml:space="preserve">All 48 repos scored automatically every week.</t>
  </si>
  <si>
    <t xml:space="preserve">Compliance counted by hand (27/48).</t>
  </si>
  <si>
    <t xml:space="preserve">Standardization squad (TF)</t>
  </si>
  <si>
    <t xml:space="preserve">3.3</t>
  </si>
  <si>
    <t xml:space="preserve">Rollout wave 1: 27 to 40 of 48 repos</t>
  </si>
  <si>
    <t xml:space="preserve">Assign the 13 repos to the squad; draft CLAUDE.md with Claude (playbook R1); owning team reviews; merge; scorecard green.</t>
  </si>
  <si>
    <t xml:space="preserve">40 of 48 repos green on the scorecard.</t>
  </si>
  <si>
    <t xml:space="preserve">27 of 48.</t>
  </si>
  <si>
    <t xml:space="preserve">Each owning team: one review slot of about an hour per repo.</t>
  </si>
  <si>
    <t xml:space="preserve">3.1, 3.2</t>
  </si>
  <si>
    <t xml:space="preserve">Target from the company plan.</t>
  </si>
  <si>
    <t xml:space="preserve">3.4</t>
  </si>
  <si>
    <t xml:space="preserve">Rollout wave 2: 40 to 48 of 48 repos</t>
  </si>
  <si>
    <t xml:space="preserve">Same method for the last 8 repos; fix repos that dropped below the standard.</t>
  </si>
  <si>
    <t xml:space="preserve">48 of 48 repos green on the scorecard.</t>
  </si>
  <si>
    <t xml:space="preserve">Owning teams review.</t>
  </si>
  <si>
    <t xml:space="preserve">3.5</t>
  </si>
  <si>
    <t xml:space="preserve">Guardrails in every repo</t>
  </si>
  <si>
    <t xml:space="preserve">Guard hooks, permission deny rules, frozen-test list and CODEOWNERS from the starter kit; hook self-test in CI; critical repos first.</t>
  </si>
  <si>
    <t xml:space="preserve">Critical repos by Fri 18 Dec 2026; all 48 by Fri 29 Jan 2027.</t>
  </si>
  <si>
    <t xml:space="preserve">sdlc-core hooks (shell, edit, PR and stop-verify guards) reach every machine through managed settings; the starter kit adds frozen-test and production-boundary guards to fold in.</t>
  </si>
  <si>
    <t xml:space="preserve">Security champion reviews.</t>
  </si>
  <si>
    <t xml:space="preserve">3.6</t>
  </si>
  <si>
    <t xml:space="preserve">Policy packs v1</t>
  </si>
  <si>
    <t xml:space="preserve">Security, testing, API and logging/PII packs with rule IDs, drafted from recurring review comments (playbook R4).</t>
  </si>
  <si>
    <t xml:space="preserve">Four packs published; reviewer agents cite rule IDs in findings.</t>
  </si>
  <si>
    <t xml:space="preserve">Starter security pack exists in the kit.</t>
  </si>
  <si>
    <t xml:space="preserve">Security champion (TF)</t>
  </si>
  <si>
    <t xml:space="preserve">Lead co-writes.</t>
  </si>
  <si>
    <t xml:space="preserve">3.7</t>
  </si>
  <si>
    <t xml:space="preserve">Required quality gates on every repo</t>
  </si>
  <si>
    <t xml:space="preserve">make verify, the artifact check and the frozen-test check as required CI checks; gate pass rate per repo on the dashboard.</t>
  </si>
  <si>
    <t xml:space="preserve">Required on 48 of 48 repos; pass rate visible per repo.</t>
  </si>
  <si>
    <t xml:space="preserve">Repo admins for branch protection.</t>
  </si>
  <si>
    <t xml:space="preserve">4.1</t>
  </si>
  <si>
    <t xml:space="preserve">Framework charter</t>
  </si>
  <si>
    <t xml:space="preserve">One plugin as the unit of distribution: skills for workflow steps, subagents for specialists, hooks for guardrails, MCP connectors (Jira, GitHub, observability) and evals; naming, versioning, contribution and review rules; agent registry.</t>
  </si>
  <si>
    <t xml:space="preserve">Charter approved at the Mon 9 Nov review, including decision D4 (skills-first, packaged as plugins).</t>
  </si>
  <si>
    <t xml:space="preserve">This repo already ships the standard as a marketplace: sdlc-core (11 skills, 5 subagents, guard hooks, 5 eval cases), sdlc-connectors and stack plugins, enabled by managed settings. The charter makes it the one framework.</t>
  </si>
  <si>
    <t xml:space="preserve">Executive sponsor decision D4.</t>
  </si>
  <si>
    <t xml:space="preserve">Stage 5</t>
  </si>
  <si>
    <t xml:space="preserve">4.2</t>
  </si>
  <si>
    <t xml:space="preserve">Internal plugin marketplace and framework CI</t>
  </si>
  <si>
    <t xml:space="preserve">Framework repository; versioned releases; claude plugin validate --strict and the eval self-test as required checks; one-command install for every builder.</t>
  </si>
  <si>
    <t xml:space="preserve">Marketplace live; plugin installs in one command; CI blocks broken releases.</t>
  </si>
  <si>
    <t xml:space="preserve">In place in this repo: marketplace, managed settings with auto-update, strict validation in CI. Remaining: confirm every builder receives it; make the eval self-test a required check.</t>
  </si>
  <si>
    <t xml:space="preserve">Framework engineers (TF)</t>
  </si>
  <si>
    <t xml:space="preserve">GitHub org admin for the marketplace repository.</t>
  </si>
  <si>
    <t xml:space="preserve">4.3</t>
  </si>
  <si>
    <t xml:space="preserve">Skill-launched UI spike</t>
  </si>
  <si>
    <t xml:space="preserve">A skill that renders a change's intent, plan, evidence and review as an HTML page and opens it; decide whether anything richer is needed.</t>
  </si>
  <si>
    <t xml:space="preserve">Demo at the Mon 23 Nov review, with a written recommendation.</t>
  </si>
  <si>
    <t xml:space="preserve">Answers the executive sponsor's question on whether skills can launch a UI.</t>
  </si>
  <si>
    <t xml:space="preserve">4.4</t>
  </si>
  <si>
    <t xml:space="preserve">Framework v0.5: plan-and-build agents</t>
  </si>
  <si>
    <t xml:space="preserve">Start from sdlc-core's prd-review, spec-write, plan, build and verify skills and its prd-analyst, repo-investigator, builder and qa-verifier agents; merge the existing requirement-analysis agent into prd-review; pilot team uses it daily.</t>
  </si>
  <si>
    <t xml:space="preserve">v0.5 released and in daily use by the pilot team.</t>
  </si>
  <si>
    <t xml:space="preserve">The skills and agents exist in sdlc-core; the pilot team does not use them daily yet.</t>
  </si>
  <si>
    <t xml:space="preserve">Owner of the requirement-analysis agent.</t>
  </si>
  <si>
    <t xml:space="preserve">4.5</t>
  </si>
  <si>
    <t xml:space="preserve">Framework v1.0: full build-and-test lifecycle</t>
  </si>
  <si>
    <t xml:space="preserve">Add architecture, security (merge the security team's agent) and test agents, plus release-manifest and incident-to-intent skills; feedback loop from mistakes to known traps and eval cases.</t>
  </si>
  <si>
    <t xml:space="preserve">v1.0 released; at least 15 eval cases passing at 85% or better.</t>
  </si>
  <si>
    <t xml:space="preserve">Not in sdlc-core yet: architecture and security reviewer agents, release manifest, incident-to-intent. Drafts are in docs/adoption/starter-kit.</t>
  </si>
  <si>
    <t xml:space="preserve">Security champion.</t>
  </si>
  <si>
    <t xml:space="preserve">Company plan: agents from December.</t>
  </si>
  <si>
    <t xml:space="preserve">4.6</t>
  </si>
  <si>
    <t xml:space="preserve">Agent eval suite in CI</t>
  </si>
  <si>
    <t xml:space="preserve">Seed cases from historical PRs (playbook E1); run on every framework change and weekly; publish the pass rate.</t>
  </si>
  <si>
    <t xml:space="preserve">15 cases by Fri 18 Dec; 30 by Fri 26 Feb 2027; pass rate of at least 85% enforced.</t>
  </si>
  <si>
    <t xml:space="preserve">sdlc-core has 5 plugin-eval cases with a baseline arm (make evals); the starter kit adds a claude -p harness and EVAL-0001.</t>
  </si>
  <si>
    <t xml:space="preserve">4.7</t>
  </si>
  <si>
    <t xml:space="preserve">Continuous improvement loop</t>
  </si>
  <si>
    <t xml:space="preserve">Every repeated agent mistake becomes a known trap and an eval case within 5 working days; weekly framework release notes.</t>
  </si>
  <si>
    <t xml:space="preserve">Loop running; repeat-mistake count falls month on month.</t>
  </si>
  <si>
    <t xml:space="preserve">4.8</t>
  </si>
  <si>
    <t xml:space="preserve">Operations (SRE) diagnosis agent</t>
  </si>
  <si>
    <t xml:space="preserve">Merge the operations team's agent into an Agent SDK service with read-only observability tools; L1–L2 on one service.</t>
  </si>
  <si>
    <t xml:space="preserve">Design approved Fri 29 Jan 2027; L1–L2 live on one service by Fri 26 Mar 2027.</t>
  </si>
  <si>
    <t xml:space="preserve">An operations agent exists, built separately.</t>
  </si>
  <si>
    <t xml:space="preserve">Ops/SRE champion (TF)</t>
  </si>
  <si>
    <t xml:space="preserve">Observability team; owner of the existing agent.</t>
  </si>
  <si>
    <t xml:space="preserve">5.1</t>
  </si>
  <si>
    <t xml:space="preserve">Pilot readout</t>
  </si>
  <si>
    <t xml:space="preserve">Retro with the current pilot team; numbers so far (change lead time, rework); what to keep, change or stop.</t>
  </si>
  <si>
    <t xml:space="preserve">Readout presented at the Mon 9 Nov review.</t>
  </si>
  <si>
    <t xml:space="preserve">Pilot running in one team.</t>
  </si>
  <si>
    <t xml:space="preserve">Pilot team lead</t>
  </si>
  <si>
    <t xml:space="preserve">Lead facilitates.</t>
  </si>
  <si>
    <t xml:space="preserve">5.2</t>
  </si>
  <si>
    <t xml:space="preserve">Standard workflow v1 with phase gates</t>
  </si>
  <si>
    <t xml:space="preserve">Intent, spec, plan, code, test, PR, release evidence; a gate per phase; tiered by change class (trivial, standard, significant, high-risk); templates from the starter kit.</t>
  </si>
  <si>
    <t xml:space="preserve">Workflow v1 published and used by the pilot team.</t>
  </si>
  <si>
    <t xml:space="preserve">Templates and skills ready in the kit.</t>
  </si>
  <si>
    <t xml:space="preserve">Pilot team.</t>
  </si>
  <si>
    <t xml:space="preserve">Built from the pilot's feedback.</t>
  </si>
  <si>
    <t xml:space="preserve">5.3</t>
  </si>
  <si>
    <t xml:space="preserve">Pilot team reaches autonomy stage 2</t>
  </si>
  <si>
    <t xml:space="preserve">Agent drafts the intent and the PR; a human reviews the PR. Track the share of changes through the workflow every week.</t>
  </si>
  <si>
    <t xml:space="preserve">At least 80% of the pilot team's eligible changes through the workflow; change lead time down 30% against baseline.</t>
  </si>
  <si>
    <t xml:space="preserve">Today: agent assists, human approves (stage 1).</t>
  </si>
  <si>
    <t xml:space="preserve">Framework v0.5 (4.4).</t>
  </si>
  <si>
    <t xml:space="preserve">4.4, 5.2</t>
  </si>
  <si>
    <t xml:space="preserve">5.4</t>
  </si>
  <si>
    <t xml:space="preserve">Onboard the 4–5 backend teams</t>
  </si>
  <si>
    <t xml:space="preserve">Two cohorts; repo standard first; workflow training with the framework; weekly retro per team.</t>
  </si>
  <si>
    <t xml:space="preserve">Cohort 1 live by Fri 29 Jan; cohort 2 by Fri 26 Feb; at least 60% of eligible changes through the workflow by Fri 30 Apr 2027.</t>
  </si>
  <si>
    <t xml:space="preserve">Teams not yet named (D7).</t>
  </si>
  <si>
    <t xml:space="preserve">Engineering managers of the backend teams.</t>
  </si>
  <si>
    <t xml:space="preserve">3.3, 5.3</t>
  </si>
  <si>
    <t xml:space="preserve">5.5</t>
  </si>
  <si>
    <t xml:space="preserve">Automated gates in shadow, then retire human gates</t>
  </si>
  <si>
    <t xml:space="preserve">Log the automated decision next to the human one for every PR; retire a human gate for the standard class only after 4 weeks at 90% agreement and no missed blocker.</t>
  </si>
  <si>
    <t xml:space="preserve">Shadow log from Mon 1 Feb 2027; first human gate retired for the standard class by Fri 30 Apr 2027.</t>
  </si>
  <si>
    <t xml:space="preserve">Executive sponsor decision D10 when the bar is met.</t>
  </si>
  <si>
    <t xml:space="preserve">Stage 3</t>
  </si>
  <si>
    <t xml:space="preserve">5.6</t>
  </si>
  <si>
    <t xml:space="preserve">Multi-agent PR review in CI</t>
  </si>
  <si>
    <t xml:space="preserve">anthropics/claude-code-action with the code-review plugin and our reviewer agents; findings carry severity, evidence, file:line and policy.</t>
  </si>
  <si>
    <t xml:space="preserve">Running on all pilot and cohort repos; human review time per PR down 20%.</t>
  </si>
  <si>
    <t xml:space="preserve">Workflow file ready in the kit.</t>
  </si>
  <si>
    <t xml:space="preserve">Repo admins; Claude GitHub App installed.</t>
  </si>
  <si>
    <t xml:space="preserve">5.7</t>
  </si>
  <si>
    <t xml:space="preserve">Release agent up to staging</t>
  </si>
  <si>
    <t xml:space="preserve">Build once, deploy to dev, QA and staging with short-lived scoped credentials; release manifest written by the agent; production stays behind a human or policy gate.</t>
  </si>
  <si>
    <t xml:space="preserve">Release manifests for 100% of standard changes in onboarded teams.</t>
  </si>
  <si>
    <t xml:space="preserve">Platform and release teams.</t>
  </si>
  <si>
    <t xml:space="preserve">5.6, 7.1</t>
  </si>
  <si>
    <t xml:space="preserve">5.8</t>
  </si>
  <si>
    <t xml:space="preserve">Autonomy stage 3 for the standard class</t>
  </si>
  <si>
    <t xml:space="preserve">Agent self-verifies with evidence; humans review exceptions.</t>
  </si>
  <si>
    <t xml:space="preserve">Pilot and cohort-1 teams by Fri 30 Apr 2027; at least 10 standard changes from requirement to production with one builder and automated controls, change failure rate no worse than baseline.</t>
  </si>
  <si>
    <t xml:space="preserve">5.5, 5.7</t>
  </si>
  <si>
    <t xml:space="preserve">This is the Stage 3 (Empower) exit for one class.</t>
  </si>
  <si>
    <t xml:space="preserve">6.1</t>
  </si>
  <si>
    <t xml:space="preserve">Product-builder role draft</t>
  </si>
  <si>
    <t xml:space="preserve">Co-write with the pilot team: what builders own, what they stop doing, new paths for QA, PM and release specialists.</t>
  </si>
  <si>
    <t xml:space="preserve">Draft reviewed by engineering leadership by Fri 29 Jan 2027.</t>
  </si>
  <si>
    <t xml:space="preserve">Role described in the strategy document only.</t>
  </si>
  <si>
    <t xml:space="preserve">HR partner; pilot team.</t>
  </si>
  <si>
    <t xml:space="preserve">Stage 2</t>
  </si>
  <si>
    <t xml:space="preserve">6.2</t>
  </si>
  <si>
    <t xml:space="preserve">One accountable builder per feature</t>
  </si>
  <si>
    <t xml:space="preserve">In onboarded teams, one builder owns each feature from intent to release evidence; measure handoff depth per feature.</t>
  </si>
  <si>
    <t xml:space="preserve">At least 70% of features in onboarded teams with handoff depth of 2 or less by Fri 30 Apr 2027.</t>
  </si>
  <si>
    <t xml:space="preserve">2.4, 6.1</t>
  </si>
  <si>
    <t xml:space="preserve">6.3</t>
  </si>
  <si>
    <t xml:space="preserve">Team-level scorecards</t>
  </si>
  <si>
    <t xml:space="preserve">Scorecards from the feature records for every onboarded team; no individual leaderboards.</t>
  </si>
  <si>
    <t xml:space="preserve">Scorecards live for all onboarded teams.</t>
  </si>
  <si>
    <t xml:space="preserve">6.4</t>
  </si>
  <si>
    <t xml:space="preserve">Builder training and certification</t>
  </si>
  <si>
    <t xml:space="preserve">Curriculum delivered as skills plus live sessions; practical certification on a real change.</t>
  </si>
  <si>
    <t xml:space="preserve">Pilot and cohorts certified by Fri 30 Apr 2027; 80% of builders by Fri 30 Jul 2027.</t>
  </si>
  <si>
    <t xml:space="preserve">Engineering managers schedule time.</t>
  </si>
  <si>
    <t xml:space="preserve">6.5</t>
  </si>
  <si>
    <t xml:space="preserve">Role in the career framework</t>
  </si>
  <si>
    <t xml:space="preserve">Expectations, levels and review criteria for product builders.</t>
  </si>
  <si>
    <t xml:space="preserve">Approved by HR and engineering leadership; used in the next review cycle.</t>
  </si>
  <si>
    <t xml:space="preserve">HR; Executive sponsor decision D12.</t>
  </si>
  <si>
    <t xml:space="preserve">7.1</t>
  </si>
  <si>
    <t xml:space="preserve">No production credentials for agents</t>
  </si>
  <si>
    <t xml:space="preserve">Review how agent sessions authenticate; short-lived, environment-scoped credentials for dev, QA and staging; sandbox with a network allowlist.</t>
  </si>
  <si>
    <t xml:space="preserve">Access review signed off; zero agent sessions with production credentials.</t>
  </si>
  <si>
    <t xml:space="preserve">Not reviewed.</t>
  </si>
  <si>
    <t xml:space="preserve">Cloud and IAM team.</t>
  </si>
  <si>
    <t xml:space="preserve">Managed settings for all builders</t>
  </si>
  <si>
    <t xml:space="preserve">No bypass mode, secret deny rules, sandbox, telemetry, approved marketplaces only.</t>
  </si>
  <si>
    <t xml:space="preserve">Deployed to 100% of builder machines.</t>
  </si>
  <si>
    <t xml:space="preserve">policy/managed-settings.json in this repo sets deny rules, no bypass mode, strict marketplaces and auto-update; not yet deployed to every builder.</t>
  </si>
  <si>
    <t xml:space="preserve">IT endpoint management.</t>
  </si>
  <si>
    <t xml:space="preserve">7.3</t>
  </si>
  <si>
    <t xml:space="preserve">Monthly failure review</t>
  </si>
  <si>
    <t xml:space="preserve">Review recurring failures every month; convert each into a rule, test, hook or eval; track the conversion-to-control rate.</t>
  </si>
  <si>
    <t xml:space="preserve">First review Fri 4 Dec 2026; conversion rate at least 80% by Fri 30 Apr 2027.</t>
  </si>
  <si>
    <t xml:space="preserve">Listed as a must-fix in the gap assessment.</t>
  </si>
  <si>
    <t xml:space="preserve">Team leads bring their failures.</t>
  </si>
  <si>
    <t xml:space="preserve">7.4</t>
  </si>
  <si>
    <t xml:space="preserve">Incident to controls</t>
  </si>
  <si>
    <t xml:space="preserve">Run /incident-to-intent for every incident: intent, frozen regression test, eval case, known trap and a proposed hook.</t>
  </si>
  <si>
    <t xml:space="preserve">100% of incidents in onboarded teams converted within 5 working days, from Mon 4 Jan 2027.</t>
  </si>
  <si>
    <t xml:space="preserve">Skill ready in the kit.</t>
  </si>
  <si>
    <t xml:space="preserve">Incident owners.</t>
  </si>
  <si>
    <t xml:space="preserve">7.5</t>
  </si>
  <si>
    <t xml:space="preserve">Autonomy ladder policy</t>
  </si>
  <si>
    <t xml:space="preserve">Allowed autonomy level per service and action; L4 runbooks approved by SRE; no L5 in the first year.</t>
  </si>
  <si>
    <t xml:space="preserve">Policy approved (decision D11).</t>
  </si>
  <si>
    <t xml:space="preserve">Head of SRE.</t>
  </si>
  <si>
    <t xml:space="preserve">8.1</t>
  </si>
  <si>
    <t xml:space="preserve">Scale the workflow to all teams</t>
  </si>
  <si>
    <t xml:space="preserve">Cohorts of two teams per month; repo standard and training first; framework from the marketplace.</t>
  </si>
  <si>
    <t xml:space="preserve">At least 70% of eligible changes through the workflow across engineering by Fri 29 Oct 2027.</t>
  </si>
  <si>
    <t xml:space="preserve">Company plan mentions 80% builders and 70% adoption; confirm.</t>
  </si>
  <si>
    <t xml:space="preserve">8.2</t>
  </si>
  <si>
    <t xml:space="preserve">SRE and incident agents at L1–L3</t>
  </si>
  <si>
    <t xml:space="preserve">Extend the diagnosis agent to onboarded services; high-confidence findings open a draft intent PR.</t>
  </si>
  <si>
    <t xml:space="preserve">L1–L3 on onboarded services; on-call rates the hypothesis correct in at least 70% of diagnosed alerts.</t>
  </si>
  <si>
    <t xml:space="preserve">On-call teams.</t>
  </si>
  <si>
    <t xml:space="preserve">4.8, 7.5</t>
  </si>
  <si>
    <t xml:space="preserve">8.3</t>
  </si>
  <si>
    <t xml:space="preserve">ROI review on measured numbers</t>
  </si>
  <si>
    <t xml:space="preserve">Fill the ROI formula with sourced inputs; sensitivity analysis; what cannot be attributed to the program.</t>
  </si>
  <si>
    <t xml:space="preserve">ROI review presented to the executive sponsor.</t>
  </si>
  <si>
    <t xml:space="preserve">Finance for program costs.</t>
  </si>
  <si>
    <t xml:space="preserve">8.4</t>
  </si>
  <si>
    <t xml:space="preserve">12-month readout and year-two plan</t>
  </si>
  <si>
    <t xml:space="preserve">Re-rate the gap assessment with evidence; propose year-two scope.</t>
  </si>
  <si>
    <t xml:space="preserve">Readout held Mon 1 Nov 2027.</t>
  </si>
  <si>
    <t xml:space="preserve">Note</t>
  </si>
  <si>
    <t xml:space="preserve">Owners marked (TF) are task-force roles until names are confirmed (action 1.2). Overdue open actions turn the Planned finish date red.</t>
  </si>
  <si>
    <t xml:space="preserve">Timeline by week</t>
  </si>
  <si>
    <t xml:space="preserve">Built from the Plan sheet's dates. Amber marks the finish week.</t>
  </si>
  <si>
    <t xml:space="preserve">Oct 26</t>
  </si>
  <si>
    <t xml:space="preserve">Nov 26</t>
  </si>
  <si>
    <t xml:space="preserve">Dec 26</t>
  </si>
  <si>
    <t xml:space="preserve">Jan 27</t>
  </si>
  <si>
    <t xml:space="preserve">Feb 27</t>
  </si>
  <si>
    <t xml:space="preserve">Mar 27</t>
  </si>
  <si>
    <t xml:space="preserve">Apr 27</t>
  </si>
  <si>
    <t xml:space="preserve">May 27</t>
  </si>
  <si>
    <t xml:space="preserve">Jun 27</t>
  </si>
  <si>
    <t xml:space="preserve">Jul 27</t>
  </si>
  <si>
    <t xml:space="preserve">Aug 27</t>
  </si>
  <si>
    <t xml:space="preserve">Sep 27</t>
  </si>
  <si>
    <t xml:space="preserve">Oct 27</t>
  </si>
  <si>
    <t xml:space="preserve">Nov 27</t>
  </si>
  <si>
    <t xml:space="preserve">Finish</t>
  </si>
  <si>
    <t xml:space="preserve">Teal: action in progress that week. Amber: planned finish week. Amber header: the current week.</t>
  </si>
  <si>
    <t xml:space="preserve">KPIs: baselines and targets</t>
  </si>
  <si>
    <t xml:space="preserve">Blue cells are targets you can change. Yellow cells are baselines to fill from internal analytics (action 2.1). Black cells are formulas.</t>
  </si>
  <si>
    <t xml:space="preserve">Absolute targets</t>
  </si>
  <si>
    <t xml:space="preserve">KPI</t>
  </si>
  <si>
    <t xml:space="preserve">Definition</t>
  </si>
  <si>
    <t xml:space="preserve">Source</t>
  </si>
  <si>
    <t xml:space="preserve">Unit</t>
  </si>
  <si>
    <t xml:space="preserve">Better when</t>
  </si>
  <si>
    <t xml:space="preserve">Baseline (Oct 2026)</t>
  </si>
  <si>
    <t xml:space="preserve">Mon 30 Nov 2026</t>
  </si>
  <si>
    <t xml:space="preserve">Fri 29 Jan 2027</t>
  </si>
  <si>
    <t xml:space="preserve">Fri 30 Apr 2027</t>
  </si>
  <si>
    <t xml:space="preserve">Fri 29 Oct 2027</t>
  </si>
  <si>
    <t xml:space="preserve">Target status / note</t>
  </si>
  <si>
    <t xml:space="preserve">Repos meeting the standard (of 48)</t>
  </si>
  <si>
    <t xml:space="preserve">Repos green on the scorecard: CLAUDE.md, rules, make targets, guardrails.</t>
  </si>
  <si>
    <t xml:space="preserve">Repo scorecard (3.2)</t>
  </si>
  <si>
    <t xml:space="preserve">repos</t>
  </si>
  <si>
    <t xml:space="preserve">Higher</t>
  </si>
  <si>
    <t xml:space="preserve">From the company plan.</t>
  </si>
  <si>
    <t xml:space="preserve">Critical repos with guardrails</t>
  </si>
  <si>
    <t xml:space="preserve">Share of critical repos with guard hooks, deny rules, frozen tests and CODEOWNERS.</t>
  </si>
  <si>
    <t xml:space="preserve">Repo scorecard</t>
  </si>
  <si>
    <t xml:space="preserve">%</t>
  </si>
  <si>
    <t xml:space="preserve">Proposed.</t>
  </si>
  <si>
    <t xml:space="preserve">Pilot team: eligible changes through the workflow</t>
  </si>
  <si>
    <t xml:space="preserve">Non-trivial changes that followed the artifact chain for their class.</t>
  </si>
  <si>
    <t xml:space="preserve">Feature records (2.3)</t>
  </si>
  <si>
    <t xml:space="preserve">Backend teams: eligible changes through the workflow</t>
  </si>
  <si>
    <t xml:space="preserve">Same measure for the 4–5 onboarded backend teams.</t>
  </si>
  <si>
    <t xml:space="preserve">Feature records (2.4)</t>
  </si>
  <si>
    <t xml:space="preserve">Builders on the standard workflow</t>
  </si>
  <si>
    <t xml:space="preserve">Builders with at least one change through the workflow in the month.</t>
  </si>
  <si>
    <t xml:space="preserve">Feature records</t>
  </si>
  <si>
    <t xml:space="preserve">Company plan mentions 80%; confirm.</t>
  </si>
  <si>
    <t xml:space="preserve">Feature-level record coverage</t>
  </si>
  <si>
    <t xml:space="preserve">Share of features with a complete record.</t>
  </si>
  <si>
    <t xml:space="preserve">Agent eval pass rate</t>
  </si>
  <si>
    <t xml:space="preserve">Passed runs ÷ total runs on the eval suite.</t>
  </si>
  <si>
    <t xml:space="preserve">evals/results</t>
  </si>
  <si>
    <t xml:space="preserve">Agent eval cases</t>
  </si>
  <si>
    <t xml:space="preserve">Cases in the suite that pass --self-test.</t>
  </si>
  <si>
    <t xml:space="preserve">evals/cases</t>
  </si>
  <si>
    <t xml:space="preserve">cases</t>
  </si>
  <si>
    <t xml:space="preserve">Proposed. Baseline: EVAL-0001 in the starter kit.</t>
  </si>
  <si>
    <t xml:space="preserve">Conversion-to-control rate</t>
  </si>
  <si>
    <t xml:space="preserve">Recurring failures converted into a rule, test, hook or eval ÷ recurring failures reviewed.</t>
  </si>
  <si>
    <t xml:space="preserve">Monthly failure review (7.3)</t>
  </si>
  <si>
    <t xml:space="preserve">Agent sessions with production credentials</t>
  </si>
  <si>
    <t xml:space="preserve">Count found in the access review.</t>
  </si>
  <si>
    <t xml:space="preserve">Access review (7.1)</t>
  </si>
  <si>
    <t xml:space="preserve">sessions</t>
  </si>
  <si>
    <t xml:space="preserve">Lower</t>
  </si>
  <si>
    <t xml:space="preserve">Hard rule.</t>
  </si>
  <si>
    <t xml:space="preserve">Repos in scope</t>
  </si>
  <si>
    <t xml:space="preserve">Repos meeting the standard, share of repos in scope</t>
  </si>
  <si>
    <t xml:space="preserve">Relative targets: change against the baseline</t>
  </si>
  <si>
    <t xml:space="preserve">Target = baseline × (1 + change) for relative KPIs, or baseline + change for points and multiples. Change inputs are in columns M–P. Fill the yellow baselines and the targets appear.</t>
  </si>
  <si>
    <t xml:space="preserve">Method</t>
  </si>
  <si>
    <t xml:space="preserve">Target 30 Nov 2026</t>
  </si>
  <si>
    <t xml:space="preserve">Target 29 Jan 2027</t>
  </si>
  <si>
    <t xml:space="preserve">Target 30 Apr 2027</t>
  </si>
  <si>
    <t xml:space="preserve">Target 29 Oct 2027</t>
  </si>
  <si>
    <t xml:space="preserve">Change by 30 Nov</t>
  </si>
  <si>
    <t xml:space="preserve">Change by 29 Jan</t>
  </si>
  <si>
    <t xml:space="preserve">Change by 30 Apr</t>
  </si>
  <si>
    <t xml:space="preserve">Change by 29 Oct 27</t>
  </si>
  <si>
    <t xml:space="preserve">AI code share in production</t>
  </si>
  <si>
    <t xml:space="preserve">Lines in AI-authored commits merged to main ÷ all merged lines.</t>
  </si>
  <si>
    <t xml:space="preserve">AI code share dashboard (2.2)</t>
  </si>
  <si>
    <t xml:space="preserve">points</t>
  </si>
  <si>
    <t xml:space="preserve">Company's top metric. Proposed targets.</t>
  </si>
  <si>
    <t xml:space="preserve">Change lead time, requirement to PR (pilot team)</t>
  </si>
  <si>
    <t xml:space="preserve">Median days from approved intent to PR opened.</t>
  </si>
  <si>
    <t xml:space="preserve">days</t>
  </si>
  <si>
    <t xml:space="preserve">relative</t>
  </si>
  <si>
    <t xml:space="preserve">Feature lead time, request to production</t>
  </si>
  <si>
    <t xml:space="preserve">Median days from request received to production (replaces pod-level epic lead time).</t>
  </si>
  <si>
    <t xml:space="preserve">Human review time per PR</t>
  </si>
  <si>
    <t xml:space="preserve">Median reviewer hours per PR.</t>
  </si>
  <si>
    <t xml:space="preserve">GitHub review events</t>
  </si>
  <si>
    <t xml:space="preserve">hours</t>
  </si>
  <si>
    <t xml:space="preserve">First-pass PR success</t>
  </si>
  <si>
    <t xml:space="preserve">Share of PRs with green CI on the first push.</t>
  </si>
  <si>
    <t xml:space="preserve">CI</t>
  </si>
  <si>
    <t xml:space="preserve">Escaped defects per month</t>
  </si>
  <si>
    <t xml:space="preserve">Defects traced to a change within 30 days.</t>
  </si>
  <si>
    <t xml:space="preserve">Tracker links</t>
  </si>
  <si>
    <t xml:space="preserve">defects</t>
  </si>
  <si>
    <t xml:space="preserve">No worse than baseline while speed rises.</t>
  </si>
  <si>
    <t xml:space="preserve">Repeat preventable failures per quarter</t>
  </si>
  <si>
    <t xml:space="preserve">Incidents or failures with a known earlier cause.</t>
  </si>
  <si>
    <t xml:space="preserve">count</t>
  </si>
  <si>
    <t xml:space="preserve">Productivity multiple (company measure)</t>
  </si>
  <si>
    <t xml:space="preserve">As defined in the strategy document.</t>
  </si>
  <si>
    <t xml:space="preserve">Strategy document</t>
  </si>
  <si>
    <t xml:space="preserve">x</t>
  </si>
  <si>
    <t xml:space="preserve">Baseline 1.3x from the strategy document; aspiration 10x. Targets proposed for onboarded teams.</t>
  </si>
  <si>
    <t xml:space="preserve">Milestones and autonomy stages</t>
  </si>
  <si>
    <t xml:space="preserve">Gate reviews fall on the biweekly review after each wave ends.</t>
  </si>
  <si>
    <t xml:space="preserve">Date</t>
  </si>
  <si>
    <t xml:space="preserve">Milestone</t>
  </si>
  <si>
    <t xml:space="preserve">Wave</t>
  </si>
  <si>
    <t xml:space="preserve">Plan v1 reviewed with the executive sponsor</t>
  </si>
  <si>
    <t xml:space="preserve">Decisions D1–D5 taken</t>
  </si>
  <si>
    <t xml:space="preserve">W0 Mobilize</t>
  </si>
  <si>
    <t xml:space="preserve">Task force approved</t>
  </si>
  <si>
    <t xml:space="preserve">6–7 named members, at least 50% allocated</t>
  </si>
  <si>
    <t xml:space="preserve">Task force kickoff</t>
  </si>
  <si>
    <t xml:space="preserve">Every member owns at least one action</t>
  </si>
  <si>
    <t xml:space="preserve">Baseline locked; standard v2; framework charter; pilot readout</t>
  </si>
  <si>
    <t xml:space="preserve">KPIs sheet baselines filled; charter ready for D4</t>
  </si>
  <si>
    <t xml:space="preserve">Gate review W0</t>
  </si>
  <si>
    <t xml:space="preserve">Charter approved; evidence pack presented</t>
  </si>
  <si>
    <t xml:space="preserve">Executive sponsor</t>
  </si>
  <si>
    <t xml:space="preserve">AI code share dashboard; plugin marketplace; UI spike</t>
  </si>
  <si>
    <t xml:space="preserve">Dashboard live; one-command install; spike demo ready</t>
  </si>
  <si>
    <t xml:space="preserve">W1 Standardize and instrument</t>
  </si>
  <si>
    <t xml:space="preserve">Framework v0.5 in daily use by the pilot team</t>
  </si>
  <si>
    <t xml:space="preserve">Pilot team uses intent, planning and verifier agents</t>
  </si>
  <si>
    <t xml:space="preserve">40 of 48 repos meet the standard</t>
  </si>
  <si>
    <t xml:space="preserve">Scorecard</t>
  </si>
  <si>
    <t xml:space="preserve">Gate review W1</t>
  </si>
  <si>
    <t xml:space="preserve">40/48; telemetry; access review signed off</t>
  </si>
  <si>
    <t xml:space="preserve">Framework v1.0; pilot team at autonomy stage 2; first showcase</t>
  </si>
  <si>
    <t xml:space="preserve">15 eval cases at 85%+; 80% of pilot changes through the workflow</t>
  </si>
  <si>
    <t xml:space="preserve">W2 Framework v1 and expansion</t>
  </si>
  <si>
    <t xml:space="preserve">48 of 48 repos; backend cohort 1 live; role draft</t>
  </si>
  <si>
    <t xml:space="preserve">Scorecard; feature records for 4–5 backend teams</t>
  </si>
  <si>
    <t xml:space="preserve">Gate review W2</t>
  </si>
  <si>
    <t xml:space="preserve">Shadow gates start</t>
  </si>
  <si>
    <t xml:space="preserve">Backend cohort 2 live; required gates on 48/48; multi-agent PR review</t>
  </si>
  <si>
    <t xml:space="preserve">30 eval cases</t>
  </si>
  <si>
    <t xml:space="preserve">W3 Automated gates and scale</t>
  </si>
  <si>
    <t xml:space="preserve">Release agent up to staging; SRE agent L1–L2 on one service</t>
  </si>
  <si>
    <t xml:space="preserve">Manifests for 100% of standard changes in onboarded teams</t>
  </si>
  <si>
    <t xml:space="preserve">First human gate retired; autonomy stage 3 for the standard class</t>
  </si>
  <si>
    <t xml:space="preserve">4 weeks at 90%+ agreement; 10+ changes with one builder and automated controls</t>
  </si>
  <si>
    <t xml:space="preserve">Gate review W3</t>
  </si>
  <si>
    <t xml:space="preserve">Decision D10 on the production policy gate</t>
  </si>
  <si>
    <t xml:space="preserve">80% of builders certified; role in the career framework</t>
  </si>
  <si>
    <t xml:space="preserve">Certification records; HR approval</t>
  </si>
  <si>
    <t xml:space="preserve">W4 Scale and the builder role</t>
  </si>
  <si>
    <t xml:space="preserve">SRE and incident agents at L1–L3 on onboarded services</t>
  </si>
  <si>
    <t xml:space="preserve">70%+ correct hypotheses</t>
  </si>
  <si>
    <t xml:space="preserve">W5 Close the loop</t>
  </si>
  <si>
    <t xml:space="preserve">ROI review; 70% of eligible changes through the workflow</t>
  </si>
  <si>
    <t xml:space="preserve">Sourced ROI with sensitivity analysis</t>
  </si>
  <si>
    <t xml:space="preserve">Gap assessment re-rated with evidence</t>
  </si>
  <si>
    <t xml:space="preserve">Autonomy stages (from the company plan)</t>
  </si>
  <si>
    <t xml:space="preserve">Agent does</t>
  </si>
  <si>
    <t xml:space="preserve">Human does</t>
  </si>
  <si>
    <t xml:space="preserve">Pilot team</t>
  </si>
  <si>
    <t xml:space="preserve">Backend teams (4–5)</t>
  </si>
  <si>
    <t xml:space="preserve">All teams</t>
  </si>
  <si>
    <t xml:space="preserve">1 Foundation (today)</t>
  </si>
  <si>
    <t xml:space="preserve">Assists with code</t>
  </si>
  <si>
    <t xml:space="preserve">Writes intents and plans; approves everything</t>
  </si>
  <si>
    <t xml:space="preserve">Today</t>
  </si>
  <si>
    <t xml:space="preserve">2</t>
  </si>
  <si>
    <t xml:space="preserve">Drafts the intent and the PR</t>
  </si>
  <si>
    <t xml:space="preserve">Reviews the PR</t>
  </si>
  <si>
    <t xml:space="preserve">3</t>
  </si>
  <si>
    <t xml:space="preserve">Self-verifies with evidence</t>
  </si>
  <si>
    <t xml:space="preserve">Reviews exceptions</t>
  </si>
  <si>
    <t xml:space="preserve">4</t>
  </si>
  <si>
    <t xml:space="preserve">Fixes what production signals find and opens the PR (L3)</t>
  </si>
  <si>
    <t xml:space="preserve">Final review</t>
  </si>
  <si>
    <t xml:space="preserve">Year two</t>
  </si>
  <si>
    <t xml:space="preserve">5</t>
  </si>
  <si>
    <t xml:space="preserve">Remediates within guardrails (L4 named runbooks only)</t>
  </si>
  <si>
    <t xml:space="preserve">Audits</t>
  </si>
  <si>
    <t xml:space="preserve">Named runbooks after D11</t>
  </si>
  <si>
    <t xml:space="preserve">Not in year one</t>
  </si>
  <si>
    <t xml:space="preserve">Stage dates are proposals for the Mon 26 Oct review.</t>
  </si>
  <si>
    <t xml:space="preserve">Decisions needed from leadership</t>
  </si>
  <si>
    <t xml:space="preserve">Bring the open ones to the biweekly review on the date shown.</t>
  </si>
  <si>
    <t xml:space="preserve">Decision</t>
  </si>
  <si>
    <t xml:space="preserve">Recommendation</t>
  </si>
  <si>
    <t xml:space="preserve">Needed by</t>
  </si>
  <si>
    <t xml:space="preserve">Decided by</t>
  </si>
  <si>
    <t xml:space="preserve">Outcome</t>
  </si>
  <si>
    <t xml:space="preserve">D1</t>
  </si>
  <si>
    <t xml:space="preserve">Approve plan v1: targets, dates and way of working</t>
  </si>
  <si>
    <t xml:space="preserve">Approve, with changes logged. Keep the company targets (40/48 by 30 Nov, 48/48 by 29 Jan, framework from December). Adopt the artifact chain, tiered by change class, and the repo standard as the way of working.</t>
  </si>
  <si>
    <t xml:space="preserve">Open</t>
  </si>
  <si>
    <t xml:space="preserve">D2</t>
  </si>
  <si>
    <t xml:space="preserve">Task force</t>
  </si>
  <si>
    <t xml:space="preserve">6–7 people at least 50% allocated from Mon 2 Nov to Fri 29 Jan, nominated by the engineering people leads (Task force sheet).</t>
  </si>
  <si>
    <t xml:space="preserve">Executive sponsor with the people leads</t>
  </si>
  <si>
    <t xml:space="preserve">D3</t>
  </si>
  <si>
    <t xml:space="preserve">One framework, run like production code</t>
  </si>
  <si>
    <t xml:space="preserve">Every agent, skill and automation goes through the shared framework; owners of existing agents join as contributors; no new standalone agents after Fri 6 Nov. Framework changes go through PRs with code owners and must pass the eval suite.</t>
  </si>
  <si>
    <t xml:space="preserve">D4</t>
  </si>
  <si>
    <t xml:space="preserve">Form of the framework</t>
  </si>
  <si>
    <t xml:space="preserve">Skills-first, packaged as plugins from an internal marketplace. Add hooks where rules must be enforced, subagents for specialist reviews, MCP connectors for Jira and observability, and headless services (Agent SDK, CI) for event-driven agents. See the Evidence sheet.</t>
  </si>
  <si>
    <t xml:space="preserve">D5</t>
  </si>
  <si>
    <t xml:space="preserve">Lead allocation</t>
  </si>
  <si>
    <t xml:space="preserve">Transformation lead fully on the program until Fri 29 Jan 2027; other work paused.</t>
  </si>
  <si>
    <t xml:space="preserve">Executive sponsor with the program sponsor</t>
  </si>
  <si>
    <t xml:space="preserve">D6</t>
  </si>
  <si>
    <t xml:space="preserve">Value metrics</t>
  </si>
  <si>
    <t xml:space="preserve">Adopt the AI code share method and feature-level records; report value metrics with paired quality metrics; team level only.</t>
  </si>
  <si>
    <t xml:space="preserve">D7</t>
  </si>
  <si>
    <t xml:space="preserve">Expansion teams</t>
  </si>
  <si>
    <t xml:space="preserve">Name the 4–5 backend teams and their order in two cohorts (January and February).</t>
  </si>
  <si>
    <t xml:space="preserve">Executive sponsor with engineering managers</t>
  </si>
  <si>
    <t xml:space="preserve">D8</t>
  </si>
  <si>
    <t xml:space="preserve">Agent compute budget</t>
  </si>
  <si>
    <t xml:space="preserve">Monthly envelope per builder set from November telemetry; hard caps on automated runs; reviewed monthly against cost per successful change.</t>
  </si>
  <si>
    <t xml:space="preserve">Executive sponsor with finance</t>
  </si>
  <si>
    <t xml:space="preserve">D9</t>
  </si>
  <si>
    <t xml:space="preserve">Measurement data access</t>
  </si>
  <si>
    <t xml:space="preserve">Read access for the measurement analyst to analytics, Jira, GitHub, deploy logs, incident tool and HR layer and span data.</t>
  </si>
  <si>
    <t xml:space="preserve">D10</t>
  </si>
  <si>
    <t xml:space="preserve">Production gate for the standard class</t>
  </si>
  <si>
    <t xml:space="preserve">Policy gate (auto-promote) once shadow data meets the bar; significant and high-risk keep a human gate.</t>
  </si>
  <si>
    <t xml:space="preserve">Executive sponsor with security</t>
  </si>
  <si>
    <t xml:space="preserve">D11</t>
  </si>
  <si>
    <t xml:space="preserve">Autonomy ceiling</t>
  </si>
  <si>
    <t xml:space="preserve">L3 (opens PRs) by default; L4 only for named runbooks approved by SRE; no L5 in year one.</t>
  </si>
  <si>
    <t xml:space="preserve">Executive sponsor with the head of SRE</t>
  </si>
  <si>
    <t xml:space="preserve">D12</t>
  </si>
  <si>
    <t xml:space="preserve">Product-builder role</t>
  </si>
  <si>
    <t xml:space="preserve">Adopt the role in the career framework with team-level scorecards.</t>
  </si>
  <si>
    <t xml:space="preserve">Executive sponsor with HR</t>
  </si>
  <si>
    <t xml:space="preserve">Roles first; names to confirm with the people leads (decision D2).</t>
  </si>
  <si>
    <t xml:space="preserve">Role</t>
  </si>
  <si>
    <t xml:space="preserve">Responsibilities</t>
  </si>
  <si>
    <t xml:space="preserve">Allocation</t>
  </si>
  <si>
    <t xml:space="preserve">Nominated by</t>
  </si>
  <si>
    <t xml:space="preserve">Name</t>
  </si>
  <si>
    <t xml:space="preserve">From</t>
  </si>
  <si>
    <t xml:space="preserve">Count</t>
  </si>
  <si>
    <t xml:space="preserve">Exec sponsor</t>
  </si>
  <si>
    <t xml:space="preserve">Biweekly review; decisions; removes blockers.</t>
  </si>
  <si>
    <t xml:space="preserve">Biweekly review</t>
  </si>
  <si>
    <t xml:space="preserve">(name)</t>
  </si>
  <si>
    <t xml:space="preserve">Owns the program with the lead; people and approvals.</t>
  </si>
  <si>
    <t xml:space="preserve">About 20%</t>
  </si>
  <si>
    <t xml:space="preserve">(sponsor)</t>
  </si>
  <si>
    <t xml:space="preserve">Transformation lead and AI architect</t>
  </si>
  <si>
    <t xml:space="preserve">Plan, framework architecture, standards, bringing teams' efforts into one framework.</t>
  </si>
  <si>
    <t xml:space="preserve">100%</t>
  </si>
  <si>
    <t xml:space="preserve">Amar Kumar</t>
  </si>
  <si>
    <t xml:space="preserve">Framework engineer</t>
  </si>
  <si>
    <t xml:space="preserve">Build, test and release the agent framework: skills, subagents, hooks, connectors, evals.</t>
  </si>
  <si>
    <t xml:space="preserve">100% Nov–Jan</t>
  </si>
  <si>
    <t xml:space="preserve">Engineering people leads</t>
  </si>
  <si>
    <t xml:space="preserve">Standardization engineer</t>
  </si>
  <si>
    <t xml:space="preserve">48-repo rollout, scorecard, guardrails, required gates.</t>
  </si>
  <si>
    <t xml:space="preserve">50–100% Nov–Jan</t>
  </si>
  <si>
    <t xml:space="preserve">Measurement analyst</t>
  </si>
  <si>
    <t xml:space="preserve">Baseline, AI code share, feature records, dashboards, monthly report.</t>
  </si>
  <si>
    <t xml:space="preserve">50%</t>
  </si>
  <si>
    <t xml:space="preserve">Security champion</t>
  </si>
  <si>
    <t xml:space="preserve">Merge the security team's agent; policy packs; access review.</t>
  </si>
  <si>
    <t xml:space="preserve">Security lead</t>
  </si>
  <si>
    <t xml:space="preserve">(built the security agent)</t>
  </si>
  <si>
    <t xml:space="preserve">Ops/SRE champion</t>
  </si>
  <si>
    <t xml:space="preserve">Merge the operations team's agent; incident loop; SRE agent.</t>
  </si>
  <si>
    <t xml:space="preserve">Operations lead</t>
  </si>
  <si>
    <t xml:space="preserve">(built the operations agent)</t>
  </si>
  <si>
    <t xml:space="preserve">Runs the workflow in the pilot team; weekly feedback.</t>
  </si>
  <si>
    <t xml:space="preserve">Product champion</t>
  </si>
  <si>
    <t xml:space="preserve">Intent quality and impact thresholds with product owners.</t>
  </si>
  <si>
    <t xml:space="preserve">Product leadership</t>
  </si>
  <si>
    <t xml:space="preserve">Core task force members (count)</t>
  </si>
  <si>
    <t xml:space="preserve">Counts members beyond the lead. Target: 6–7. Part-time roles are not counted.</t>
  </si>
  <si>
    <t xml:space="preserve">Agent framework: one marketplace, twelve core agents</t>
  </si>
  <si>
    <t xml:space="preserve">Skills-first, packaged as plugins in this repo's marketplace. Existing team agents merge into these components instead of running separately.</t>
  </si>
  <si>
    <t xml:space="preserve">Agent or component</t>
  </si>
  <si>
    <t xml:space="preserve">Phase</t>
  </si>
  <si>
    <t xml:space="preserve">Packaged as</t>
  </si>
  <si>
    <t xml:space="preserve">Starts from (this repo)</t>
  </si>
  <si>
    <t xml:space="preserve">Existing effort to merge</t>
  </si>
  <si>
    <t xml:space="preserve">Target release</t>
  </si>
  <si>
    <t xml:space="preserve">Intent Agent</t>
  </si>
  <si>
    <t xml:space="preserve">Plan</t>
  </si>
  <si>
    <t xml:space="preserve">Skill + subagent in the plugin</t>
  </si>
  <si>
    <t xml:space="preserve">sdlc-core prd-review skill and prd-analyst agent; starter kit /intent</t>
  </si>
  <si>
    <t xml:space="preserve">Requirement-analysis agent (part)</t>
  </si>
  <si>
    <t xml:space="preserve">v0.5 · Fri 27 Nov 2026</t>
  </si>
  <si>
    <t xml:space="preserve">Requirements Agent</t>
  </si>
  <si>
    <t xml:space="preserve">Design</t>
  </si>
  <si>
    <t xml:space="preserve">Subagent, called from the spec step</t>
  </si>
  <si>
    <t xml:space="preserve">sdlc-core prd-review rubric and spec-write skill</t>
  </si>
  <si>
    <t xml:space="preserve">Requirement-analysis agent</t>
  </si>
  <si>
    <t xml:space="preserve">Architecture Agent</t>
  </si>
  <si>
    <t xml:space="preserve">Subagent</t>
  </si>
  <si>
    <t xml:space="preserve">Starter kit architecture-reviewer</t>
  </si>
  <si>
    <t xml:space="preserve">v1.0 · Fri 18 Dec 2026</t>
  </si>
  <si>
    <t xml:space="preserve">Planning Agent</t>
  </si>
  <si>
    <t xml:space="preserve">Build</t>
  </si>
  <si>
    <t xml:space="preserve">Skill (runs in plan mode)</t>
  </si>
  <si>
    <t xml:space="preserve">sdlc-core plan skill; repo-investigator agent</t>
  </si>
  <si>
    <t xml:space="preserve">Coding Agent</t>
  </si>
  <si>
    <t xml:space="preserve">Claude Code with CLAUDE.md and shared rules</t>
  </si>
  <si>
    <t xml:space="preserve">sdlc-core build skill, builder agent, rules/</t>
  </si>
  <si>
    <t xml:space="preserve">Available now</t>
  </si>
  <si>
    <t xml:space="preserve">Test Agent</t>
  </si>
  <si>
    <t xml:space="preserve">Test</t>
  </si>
  <si>
    <t xml:space="preserve">Starter kit test-engineer</t>
  </si>
  <si>
    <t xml:space="preserve">Verification Agent</t>
  </si>
  <si>
    <t xml:space="preserve">Skill + subagent + Stop hook</t>
  </si>
  <si>
    <t xml:space="preserve">sdlc-core verify skill, qa-verifier agent, stop-verify hook</t>
  </si>
  <si>
    <t xml:space="preserve">Security Agent</t>
  </si>
  <si>
    <t xml:space="preserve">Test / Deploy</t>
  </si>
  <si>
    <t xml:space="preserve">Subagent + security policy pack</t>
  </si>
  <si>
    <t xml:space="preserve">Starter kit security-reviewer; sdlc-core rules/10-security-and-data</t>
  </si>
  <si>
    <t xml:space="preserve">Security team's agent</t>
  </si>
  <si>
    <t xml:space="preserve">Code Review Agent</t>
  </si>
  <si>
    <t xml:space="preserve">Deploy</t>
  </si>
  <si>
    <t xml:space="preserve">Subagent + review in the shared CI workflow</t>
  </si>
  <si>
    <t xml:space="preserve">sdlc-core pr-reviewer agent and pr-open skill; starter kit review-synthesizer</t>
  </si>
  <si>
    <t xml:space="preserve">v0.5 · Fri 27 Nov 2026; CI Fri 26 Feb 2027</t>
  </si>
  <si>
    <t xml:space="preserve">Release Agent</t>
  </si>
  <si>
    <t xml:space="preserve">Skill in a CI release job</t>
  </si>
  <si>
    <t xml:space="preserve">Starter kit /release-manifest; shared sdlc.yml workflow</t>
  </si>
  <si>
    <t xml:space="preserve">Fri 26 Mar 2027</t>
  </si>
  <si>
    <t xml:space="preserve">SRE Agent</t>
  </si>
  <si>
    <t xml:space="preserve">Maintain</t>
  </si>
  <si>
    <t xml:space="preserve">Agent SDK service with read-only observability tools</t>
  </si>
  <si>
    <t xml:space="preserve">Playbook prompt S1; sdlc-connectors</t>
  </si>
  <si>
    <t xml:space="preserve">Operations team's agent</t>
  </si>
  <si>
    <t xml:space="preserve">L1–L2 · Fri 26 Mar 2027</t>
  </si>
  <si>
    <t xml:space="preserve">Incident Agent</t>
  </si>
  <si>
    <t xml:space="preserve">Skill</t>
  </si>
  <si>
    <t xml:space="preserve">sdlc-core learn and triage skills, knowledge/; starter kit /incident-to-intent</t>
  </si>
  <si>
    <t xml:space="preserve">Guardrail hooks</t>
  </si>
  <si>
    <t xml:space="preserve">All</t>
  </si>
  <si>
    <t xml:space="preserve">Hooks</t>
  </si>
  <si>
    <t xml:space="preserve">sdlc-core shell, edit, PR and stop-verify guards; starter kit frozen-test and production-boundary guards</t>
  </si>
  <si>
    <t xml:space="preserve">Critical repos Fri 18 Dec 2026</t>
  </si>
  <si>
    <t xml:space="preserve">Connectors</t>
  </si>
  <si>
    <t xml:space="preserve">MCP servers</t>
  </si>
  <si>
    <t xml:space="preserve">sdlc-connectors (history and schema lookup); Jira, GitHub, observability</t>
  </si>
  <si>
    <t xml:space="preserve">Jira and GitHub v0.5; observability Jan 2027</t>
  </si>
  <si>
    <t xml:space="preserve">Eval harness</t>
  </si>
  <si>
    <t xml:space="preserve">claude plugin eval + headless claude -p</t>
  </si>
  <si>
    <t xml:space="preserve">sdlc-core evals (5 cases, baseline arm); starter kit run_evals.py and EVAL-0001</t>
  </si>
  <si>
    <t xml:space="preserve">15 cases · Fri 18 Dec 2026</t>
  </si>
  <si>
    <t xml:space="preserve">Risks</t>
  </si>
  <si>
    <t xml:space="preserve">Review at every biweekly review. Likelihood and impact: High, Medium, Low.</t>
  </si>
  <si>
    <t xml:space="preserve">Risk</t>
  </si>
  <si>
    <t xml:space="preserve">Likelihood</t>
  </si>
  <si>
    <t xml:space="preserve">Impact</t>
  </si>
  <si>
    <t xml:space="preserve">Mitigation</t>
  </si>
  <si>
    <t xml:space="preserve">R1</t>
  </si>
  <si>
    <t xml:space="preserve">Task force members are not freed up, so November targets slip.</t>
  </si>
  <si>
    <t xml:space="preserve">Medium</t>
  </si>
  <si>
    <t xml:space="preserve">High</t>
  </si>
  <si>
    <t xml:space="preserve">Allocation approved by the executive sponsor (D2); checked daily at 11:00; escalated at the next biweekly review.</t>
  </si>
  <si>
    <t xml:space="preserve">R2</t>
  </si>
  <si>
    <t xml:space="preserve">Teams keep building agents on their own, so effort is duplicated and behaviour differs.</t>
  </si>
  <si>
    <t xml:space="preserve">One-framework rule (D3); inventory with decisions (1.5); clear contribution path; credit contributors in showcases.</t>
  </si>
  <si>
    <t xml:space="preserve">R3</t>
  </si>
  <si>
    <t xml:space="preserve">Repo owners are slow to review CLAUDE.md changes, so 40/48 slips.</t>
  </si>
  <si>
    <t xml:space="preserve">Claude drafts every change; one-hour review slots; scorecard visible to managers; escalate per team.</t>
  </si>
  <si>
    <t xml:space="preserve">R4</t>
  </si>
  <si>
    <t xml:space="preserve">Baseline numbers are disputed or missing, so value cannot be shown.</t>
  </si>
  <si>
    <t xml:space="preserve">Definitions locked by Fri 6 Nov; team level only; definitions change at most once a quarter.</t>
  </si>
  <si>
    <t xml:space="preserve">R5</t>
  </si>
  <si>
    <t xml:space="preserve">Holidays cut capacity (Diwali week in November, year end).</t>
  </si>
  <si>
    <t xml:space="preserve">Front-load November; light work 21 Dec – 1 Jan; confirm review dates.</t>
  </si>
  <si>
    <t xml:space="preserve">R6</t>
  </si>
  <si>
    <t xml:space="preserve">The workflow feels like paperwork, so teams resist.</t>
  </si>
  <si>
    <t xml:space="preserve">Tier by change class; agents draft artifacts; measure overhead; delete sections nobody reads.</t>
  </si>
  <si>
    <t xml:space="preserve">R7</t>
  </si>
  <si>
    <t xml:space="preserve">Human review becomes the bottleneck as AI changes grow.</t>
  </si>
  <si>
    <t xml:space="preserve">Multi-agent review in CI; humans judge fit and risk; small PRs; at most 2–3 parallel sessions per builder.</t>
  </si>
  <si>
    <t xml:space="preserve">R8</t>
  </si>
  <si>
    <t xml:space="preserve">Agents weaken or skip tests to get green.</t>
  </si>
  <si>
    <t xml:space="preserve">Frozen tests, test guard hook, independent verifier, eval cases that catch cheating.</t>
  </si>
  <si>
    <t xml:space="preserve">R9</t>
  </si>
  <si>
    <t xml:space="preserve">Agent sessions reach credentials or production.</t>
  </si>
  <si>
    <t xml:space="preserve">Low</t>
  </si>
  <si>
    <t xml:space="preserve">No production credentials for agents; sandbox and network allowlist; deny rules; access review (7.1).</t>
  </si>
  <si>
    <t xml:space="preserve">R10</t>
  </si>
  <si>
    <t xml:space="preserve">A skills-only constraint leaves rules unenforced and event-driven agents unbuilt.</t>
  </si>
  <si>
    <t xml:space="preserve">Decision D4 with the evidence pack: skills-first plugin with hooks, subagents and connectors; Agent SDK for services.</t>
  </si>
  <si>
    <t xml:space="preserve">R11</t>
  </si>
  <si>
    <t xml:space="preserve">The lead becomes a single point of failure.</t>
  </si>
  <si>
    <t xml:space="preserve">Named owners for every area; a framework deputy among the task force.</t>
  </si>
  <si>
    <t xml:space="preserve">R12</t>
  </si>
  <si>
    <t xml:space="preserve">Metrics get gamed once they become targets.</t>
  </si>
  <si>
    <t xml:space="preserve">Paired metrics; team level only; read numbers next to retro notes.</t>
  </si>
  <si>
    <t xml:space="preserve">Industry evidence: skills, plugins and agents</t>
  </si>
  <si>
    <t xml:space="preserve">Vendor facts checked on Fri 23 Oct 2026. Company cases summarise docs/research.md in this repo (re-checked against sources on 22 Oct 2026).</t>
  </si>
  <si>
    <t xml:space="preserve">#</t>
  </si>
  <si>
    <t xml:space="preserve">What the source shows</t>
  </si>
  <si>
    <t xml:space="preserve">Why it matters for our plan</t>
  </si>
  <si>
    <t xml:space="preserve">Anthropic packages Claude Code extensions as plugins that bundle skills, subagents, hooks and MCP servers, shared through marketplaces; managed settings can limit builders to approved marketplaces.</t>
  </si>
  <si>
    <t xml:space="preserve">Supports 'skills-first, packaged as plugins'. The same plugin also carries the guardrails and connectors we need.</t>
  </si>
  <si>
    <t xml:space="preserve">https://code.claude.com/docs/en/plugins</t>
  </si>
  <si>
    <t xml:space="preserve">A skill is a folder with a SKILL.md file plus optional scripts and resources; it runs when invoked by name or when the task matches its description.</t>
  </si>
  <si>
    <t xml:space="preserve">A skill can run a bundled script, for example one that renders and opens an HTML review page (action 4.3).</t>
  </si>
  <si>
    <t xml:space="preserve">https://code.claude.com/docs/en/skills</t>
  </si>
  <si>
    <t xml:space="preserve">Hooks run as code before a tool call and can allow, deny or ask. Skills are instructions the model follows.</t>
  </si>
  <si>
    <t xml:space="preserve">Rules that must hold (frozen tests, production boundary) need hooks; skills alone cannot enforce them.</t>
  </si>
  <si>
    <t xml:space="preserve">https://code.claude.com/docs/en/hooks</t>
  </si>
  <si>
    <t xml:space="preserve">OpenAI's Codex documentation describes skills built on the open Agent Skills standard (agentskills.io), available in the Codex CLI, IDE extension and app, with plugins as the way to share them.</t>
  </si>
  <si>
    <t xml:space="preserve">Skills and plugins are a cross-vendor pattern, so our investment is portable.</t>
  </si>
  <si>
    <t xml:space="preserve">https://developers.openai.com/codex/skills</t>
  </si>
  <si>
    <t xml:space="preserve">Gemini CLI extensions bundle a context file (GEMINI.md), MCP servers and custom commands.</t>
  </si>
  <si>
    <t xml:space="preserve">Google's coding agent uses the same packaging idea: context, connectors and commands in one installable unit.</t>
  </si>
  <si>
    <t xml:space="preserve">https://devops.com/gemini-cli-extensions-bring-customization-to-the-command-line/ (third-party; confirm in the Gemini CLI repository docs)</t>
  </si>
  <si>
    <t xml:space="preserve">Google reported on its Q3 2024 earnings call (29 Oct 2024) that more than a quarter of new code is generated by AI and then reviewed and accepted by engineers.</t>
  </si>
  <si>
    <t xml:space="preserve">Precedent for reporting AI code share as a company metric, paired with human review.</t>
  </si>
  <si>
    <t xml:space="preserve">https://fortune.com/2024/10/30/googles-code-ai-sundar-pichai/</t>
  </si>
  <si>
    <t xml:space="preserve">Anthropic's GitHub Action runs Claude Code with plugins in CI (claude-code-action@v1 with plugins and plugin_marketplaces inputs).</t>
  </si>
  <si>
    <t xml:space="preserve">The same skills run in PR review and release jobs; no second implementation.</t>
  </si>
  <si>
    <t xml:space="preserve">https://code.claude.com/docs/en/github-actions</t>
  </si>
  <si>
    <t xml:space="preserve">Claude Code exports OpenTelemetry metrics, including cost, tokens, sessions, lines of code, commits and pull requests.</t>
  </si>
  <si>
    <t xml:space="preserve">AI code share and cost per change can be measured from telemetry joined with git.</t>
  </si>
  <si>
    <t xml:space="preserve">https://code.claude.com/docs/en/monitoring-usage</t>
  </si>
  <si>
    <t xml:space="preserve">Stripe (Minions): unattended one-shot coding agents started from Slack, CLI, web or tickets; pre-warmed devboxes with no production data and no open egress; one set of agent rules shared by every agent tool; more than 1,300 merged PRs a week, all human-reviewed.</t>
  </si>
  <si>
    <t xml:space="preserve">Background agents produce reviewed PRs at scale when the sandbox holds no production data, the same idea as our production boundary.</t>
  </si>
  <si>
    <t xml:space="preserve">docs/research.md (Stripe row); stripe.dev/blog/minions-stripes-one-shot-end-to-end-coding-agents</t>
  </si>
  <si>
    <t xml:space="preserve">Spotify (Honk): built on the Claude Agent SDK; verifiers run in the stop hook and no PR opens if they fail; 1,500+ merged PRs and 60–90% time saved on migrations. Spotify reports agents disabling flaky tests.</t>
  </si>
  <si>
    <t xml:space="preserve">Supports our verify gate in the Stop hook, and frozen tests against agents weakening tests.</t>
  </si>
  <si>
    <t xml:space="preserve">docs/research.md (Spotify row); engineering.atspotify.com</t>
  </si>
  <si>
    <t xml:space="preserve">Ramp (Inspect): a background agent with the full stack and a browser; about 30% of merged PRs within months, later over half; the PR opens with the requester's token so they cannot approve it themselves.</t>
  </si>
  <si>
    <t xml:space="preserve">Measure sessions that end in merged PRs; separation of duties at the review gate.</t>
  </si>
  <si>
    <t xml:space="preserve">docs/research.md (Ramp row); builders.ramp.com</t>
  </si>
  <si>
    <t xml:space="preserve">Uber: uReview covers over 90% of about 65k weekly diffs with 75% of comments rated useful; AutoCover uses a mutation-testing validator to reject weak tests.</t>
  </si>
  <si>
    <t xml:space="preserve">Multi-agent PR review at scale works when findings are graded and capped; validate tests, not just count them.</t>
  </si>
  <si>
    <t xml:space="preserve">docs/research.md (Uber row); uber.com/blog/ureview</t>
  </si>
  <si>
    <t xml:space="preserve">Airbnb: Enzyme to React Testing Library migration of about 3,500 test files in 6 weeks against a 1.5-year estimate, 97% automated.</t>
  </si>
  <si>
    <t xml:space="preserve">Migration factories: deterministic steps with an agent step inside, validated by tests.</t>
  </si>
  <si>
    <t xml:space="preserve">docs/research.md (Airbnb row); airbnb.tech</t>
  </si>
</sst>
</file>

<file path=xl/styles.xml><?xml version="1.0" encoding="utf-8"?>
<styleSheet xmlns="http://schemas.openxmlformats.org/spreadsheetml/2006/main">
  <numFmts count="10">
    <numFmt numFmtId="164" formatCode="General"/>
    <numFmt numFmtId="165" formatCode="0%"/>
    <numFmt numFmtId="166" formatCode="ddd\ dd\ mmm\ yyyy"/>
    <numFmt numFmtId="167" formatCode="dd"/>
    <numFmt numFmtId="168" formatCode="dd\ mmm\ yy"/>
    <numFmt numFmtId="169" formatCode="\+0&quot; pts&quot;;\-0&quot; pts&quot;;0&quot; pts&quot;"/>
    <numFmt numFmtId="170" formatCode="0.0"/>
    <numFmt numFmtId="171" formatCode="\+0%;\-0%;0%"/>
    <numFmt numFmtId="172" formatCode="0.0\x"/>
    <numFmt numFmtId="173" formatCode="\+0.0;\-0.0;0.0"/>
  </numFmts>
  <fonts count="18">
    <font>
      <sz val="11"/>
      <color theme="1"/>
      <name val="Calibri"/>
      <family val="2"/>
      <charset val="1"/>
    </font>
    <font>
      <sz val="10"/>
      <name val="Arial"/>
      <family val="0"/>
    </font>
    <font>
      <sz val="10"/>
      <name val="Arial"/>
      <family val="0"/>
    </font>
    <font>
      <sz val="10"/>
      <name val="Arial"/>
      <family val="0"/>
    </font>
    <font>
      <b val="true"/>
      <sz val="15"/>
      <color rgb="FF14232A"/>
      <name val="Arial"/>
      <family val="0"/>
      <charset val="1"/>
    </font>
    <font>
      <sz val="11"/>
      <color theme="1"/>
      <name val="Arial"/>
      <family val="0"/>
      <charset val="1"/>
    </font>
    <font>
      <sz val="10"/>
      <color rgb="FF6A7C85"/>
      <name val="Arial"/>
      <family val="0"/>
      <charset val="1"/>
    </font>
    <font>
      <b val="true"/>
      <sz val="10"/>
      <color rgb="FF14232A"/>
      <name val="Arial"/>
      <family val="0"/>
      <charset val="1"/>
    </font>
    <font>
      <sz val="10"/>
      <color rgb="FF14232A"/>
      <name val="Arial"/>
      <family val="0"/>
      <charset val="1"/>
    </font>
    <font>
      <b val="true"/>
      <sz val="10"/>
      <color rgb="FFFFFFFF"/>
      <name val="Arial"/>
      <family val="0"/>
      <charset val="1"/>
    </font>
    <font>
      <sz val="10"/>
      <color rgb="FF008000"/>
      <name val="Arial"/>
      <family val="0"/>
      <charset val="1"/>
    </font>
    <font>
      <sz val="10"/>
      <name val="Arial"/>
      <family val="2"/>
    </font>
    <font>
      <b val="true"/>
      <sz val="8"/>
      <color rgb="FF6A7C85"/>
      <name val="Arial"/>
      <family val="0"/>
      <charset val="1"/>
    </font>
    <font>
      <sz val="7"/>
      <color rgb="FF6A7C85"/>
      <name val="Arial"/>
      <family val="0"/>
      <charset val="1"/>
    </font>
    <font>
      <sz val="7"/>
      <color rgb="FFFFFFFF"/>
      <name val="Arial"/>
      <family val="0"/>
      <charset val="1"/>
    </font>
    <font>
      <sz val="7"/>
      <name val="Arial"/>
      <family val="0"/>
      <charset val="1"/>
    </font>
    <font>
      <sz val="10"/>
      <color rgb="FF0000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0A6A70"/>
        <bgColor rgb="FF008080"/>
      </patternFill>
    </fill>
    <fill>
      <patternFill patternType="solid">
        <fgColor rgb="FFDCEDED"/>
        <bgColor rgb="FFC6EFCE"/>
      </patternFill>
    </fill>
    <fill>
      <patternFill patternType="solid">
        <fgColor rgb="FFFFF2CC"/>
        <bgColor rgb="FFFFEB9C"/>
      </patternFill>
    </fill>
  </fills>
  <borders count="2">
    <border diagonalUp="false" diagonalDown="false">
      <left/>
      <right/>
      <top/>
      <bottom/>
      <diagonal/>
    </border>
    <border diagonalUp="false" diagonalDown="false">
      <left style="thin">
        <color rgb="FFCFD9DC"/>
      </left>
      <right style="thin">
        <color rgb="FFCFD9DC"/>
      </right>
      <top style="thin">
        <color rgb="FFCFD9DC"/>
      </top>
      <bottom style="thin">
        <color rgb="FFCFD9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6" fontId="7" fillId="3"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7" fontId="14" fillId="2"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5" fontId="16"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9" fontId="16" fillId="0" borderId="1" xfId="0" applyFont="true" applyBorder="true" applyAlignment="true" applyProtection="false">
      <alignment horizontal="center" vertical="top" textRotation="0" wrapText="false" indent="0" shrinkToFit="false"/>
      <protection locked="true" hidden="false"/>
    </xf>
    <xf numFmtId="170" fontId="8" fillId="0" borderId="1" xfId="0" applyFont="true" applyBorder="true" applyAlignment="true" applyProtection="false">
      <alignment horizontal="center" vertical="top" textRotation="0" wrapText="false" indent="0" shrinkToFit="false"/>
      <protection locked="true" hidden="false"/>
    </xf>
    <xf numFmtId="171" fontId="16" fillId="0" borderId="1" xfId="0" applyFont="true" applyBorder="true" applyAlignment="true" applyProtection="false">
      <alignment horizontal="center" vertical="top" textRotation="0" wrapText="false" indent="0" shrinkToFit="false"/>
      <protection locked="true" hidden="false"/>
    </xf>
    <xf numFmtId="172" fontId="16" fillId="0" borderId="1" xfId="0" applyFont="true" applyBorder="true" applyAlignment="true" applyProtection="false">
      <alignment horizontal="center" vertical="top" textRotation="0" wrapText="false" indent="0" shrinkToFit="false"/>
      <protection locked="true" hidden="false"/>
    </xf>
    <xf numFmtId="172" fontId="8" fillId="0" borderId="1" xfId="0" applyFont="true" applyBorder="true" applyAlignment="true" applyProtection="false">
      <alignment horizontal="center" vertical="top" textRotation="0" wrapText="false" indent="0" shrinkToFit="false"/>
      <protection locked="true" hidden="false"/>
    </xf>
    <xf numFmtId="173" fontId="16"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A6A70"/>
          <bgColor rgb="FF000000"/>
        </patternFill>
      </fill>
    </dxf>
    <dxf>
      <fill>
        <patternFill patternType="solid">
          <bgColor rgb="FF000000"/>
        </patternFill>
      </fill>
    </dxf>
    <dxf>
      <fill>
        <patternFill patternType="solid">
          <fgColor rgb="FF14232A"/>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i val="1"/>
        <color rgb="FF6A7C85"/>
      </font>
    </dxf>
    <dxf>
      <fill>
        <patternFill>
          <bgColor rgb="FFFFC7CE"/>
        </patternFill>
      </fill>
    </dxf>
    <dxf>
      <font>
        <name val="Arial"/>
        <charset val="1"/>
        <family val="0"/>
        <b val="1"/>
        <color rgb="FF9C0006"/>
      </font>
    </dxf>
    <dxf>
      <font>
        <name val="Arial"/>
        <charset val="1"/>
        <family val="0"/>
        <color rgb="FF9C540F"/>
        <sz val="7"/>
      </font>
      <fill>
        <patternFill>
          <bgColor rgb="FF9C540F"/>
        </patternFill>
      </fill>
    </dxf>
    <dxf>
      <font>
        <name val="Arial"/>
        <charset val="1"/>
        <family val="0"/>
        <color rgb="FF9FD3D5"/>
        <sz val="7"/>
      </font>
      <fill>
        <patternFill>
          <bgColor rgb="FF9FD3D5"/>
        </patternFill>
      </fill>
    </dxf>
    <dxf>
      <fill>
        <patternFill>
          <bgColor rgb="FF9C540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5700"/>
      <rgbColor rgb="FF800080"/>
      <rgbColor rgb="FF0A6A70"/>
      <rgbColor rgb="FFC0C0C0"/>
      <rgbColor rgb="FF6A7C85"/>
      <rgbColor rgb="FF9999FF"/>
      <rgbColor rgb="FF993366"/>
      <rgbColor rgb="FFFFF2CC"/>
      <rgbColor rgb="FFDCEDED"/>
      <rgbColor rgb="FF660066"/>
      <rgbColor rgb="FFFF8080"/>
      <rgbColor rgb="FF0563C1"/>
      <rgbColor rgb="FFCFD9DC"/>
      <rgbColor rgb="FF000080"/>
      <rgbColor rgb="FFFF00FF"/>
      <rgbColor rgb="FFFFFF00"/>
      <rgbColor rgb="FF00FFFF"/>
      <rgbColor rgb="FF800080"/>
      <rgbColor rgb="FF800000"/>
      <rgbColor rgb="FF008080"/>
      <rgbColor rgb="FF0000FF"/>
      <rgbColor rgb="FF00CCFF"/>
      <rgbColor rgb="FFCCFFFF"/>
      <rgbColor rgb="FFC6EFCE"/>
      <rgbColor rgb="FFFFEB9C"/>
      <rgbColor rgb="FF9FD3D5"/>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6100"/>
      <rgbColor rgb="FF333300"/>
      <rgbColor rgb="FF9C540F"/>
      <rgbColor rgb="FF993366"/>
      <rgbColor rgb="FF333399"/>
      <rgbColor rgb="FF1423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hyperlink" Target="https://code.claude.com/docs/en/plugins" TargetMode="External"/><Relationship Id="rId2" Type="http://schemas.openxmlformats.org/officeDocument/2006/relationships/hyperlink" Target="https://code.claude.com/docs/en/skills" TargetMode="External"/><Relationship Id="rId3" Type="http://schemas.openxmlformats.org/officeDocument/2006/relationships/hyperlink" Target="https://code.claude.com/docs/en/hooks" TargetMode="External"/><Relationship Id="rId4" Type="http://schemas.openxmlformats.org/officeDocument/2006/relationships/hyperlink" Target="https://developers.openai.com/codex/skills" TargetMode="External"/><Relationship Id="rId5" Type="http://schemas.openxmlformats.org/officeDocument/2006/relationships/hyperlink" Target="https://devops.com/gemini-cli-extensions-bring-customization-to-the-command-line/" TargetMode="External"/><Relationship Id="rId6" Type="http://schemas.openxmlformats.org/officeDocument/2006/relationships/hyperlink" Target="https://fortune.com/2024/10/30/googles-code-ai-sundar-pichai/" TargetMode="External"/><Relationship Id="rId7" Type="http://schemas.openxmlformats.org/officeDocument/2006/relationships/hyperlink" Target="https://code.claude.com/docs/en/github-actions" TargetMode="External"/><Relationship Id="rId8" Type="http://schemas.openxmlformats.org/officeDocument/2006/relationships/hyperlink" Target="https://code.claude.com/docs/en/monitoring-usag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0"/>
  </cols>
  <sheetData>
    <row r="1" customFormat="false" ht="24" hidden="false" customHeight="true" outlineLevel="0" collapsed="false">
      <c r="A1" s="1" t="s">
        <v>0</v>
      </c>
      <c r="B1" s="2"/>
    </row>
    <row r="2" customFormat="false" ht="15" hidden="false" customHeight="false" outlineLevel="0" collapsed="false">
      <c r="A2" s="3" t="s">
        <v>1</v>
      </c>
      <c r="B2" s="2"/>
    </row>
    <row r="3" customFormat="false" ht="15" hidden="false" customHeight="false" outlineLevel="0" collapsed="false">
      <c r="A3" s="2"/>
      <c r="B3" s="2"/>
    </row>
    <row r="4" customFormat="false" ht="31.5" hidden="false" customHeight="true" outlineLevel="0" collapsed="false">
      <c r="A4" s="4" t="s">
        <v>2</v>
      </c>
      <c r="B4" s="5" t="s">
        <v>3</v>
      </c>
    </row>
    <row r="5" customFormat="false" ht="45" hidden="false" customHeight="true" outlineLevel="0" collapsed="false">
      <c r="A5" s="4" t="s">
        <v>4</v>
      </c>
      <c r="B5" s="5" t="s">
        <v>5</v>
      </c>
    </row>
    <row r="6" customFormat="false" ht="31.5" hidden="false" customHeight="true" outlineLevel="0" collapsed="false">
      <c r="A6" s="4" t="s">
        <v>6</v>
      </c>
      <c r="B6" s="5" t="s">
        <v>7</v>
      </c>
    </row>
    <row r="7" customFormat="false" ht="18" hidden="false" customHeight="true" outlineLevel="0" collapsed="false">
      <c r="A7" s="4" t="s">
        <v>8</v>
      </c>
      <c r="B7" s="5" t="s">
        <v>9</v>
      </c>
    </row>
    <row r="8" customFormat="false" ht="31.5" hidden="false" customHeight="true" outlineLevel="0" collapsed="false">
      <c r="A8" s="4" t="s">
        <v>10</v>
      </c>
      <c r="B8" s="5" t="s">
        <v>11</v>
      </c>
    </row>
    <row r="9" customFormat="false" ht="31.5" hidden="false" customHeight="true" outlineLevel="0" collapsed="false">
      <c r="A9" s="4" t="s">
        <v>12</v>
      </c>
      <c r="B9" s="5" t="s">
        <v>13</v>
      </c>
    </row>
    <row r="10" customFormat="false" ht="45" hidden="false" customHeight="true" outlineLevel="0" collapsed="false">
      <c r="A10" s="4" t="s">
        <v>14</v>
      </c>
      <c r="B10" s="5" t="s">
        <v>15</v>
      </c>
    </row>
    <row r="11" customFormat="false" ht="45" hidden="false" customHeight="true" outlineLevel="0" collapsed="false">
      <c r="A11" s="4" t="s">
        <v>16</v>
      </c>
      <c r="B11" s="5" t="s">
        <v>17</v>
      </c>
    </row>
    <row r="12" customFormat="false" ht="45" hidden="false" customHeight="true" outlineLevel="0" collapsed="false">
      <c r="A12" s="4" t="s">
        <v>18</v>
      </c>
      <c r="B12" s="5" t="s">
        <v>19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6A70"/>
    <pageSetUpPr fitToPage="tru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9"/>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9"/>
    <col collapsed="false" customWidth="true" hidden="false" outlineLevel="0" max="9" min="9" style="0" width="8"/>
    <col collapsed="false" customWidth="true" hidden="false" outlineLevel="0" max="10" min="10" style="0" width="9"/>
    <col collapsed="false" customWidth="true" hidden="false" outlineLevel="0" max="11" min="11" style="0" width="22"/>
  </cols>
  <sheetData>
    <row r="1" customFormat="false" ht="24" hidden="false" customHeight="true" outlineLevel="0" collapsed="false">
      <c r="A1" s="1" t="s">
        <v>20</v>
      </c>
      <c r="B1" s="2"/>
      <c r="C1" s="2"/>
      <c r="D1" s="2"/>
      <c r="E1" s="2"/>
      <c r="F1" s="2"/>
      <c r="G1" s="2"/>
      <c r="H1" s="2"/>
      <c r="I1" s="2"/>
      <c r="J1" s="2"/>
      <c r="K1" s="2"/>
    </row>
    <row r="2" customFormat="false" ht="15" hidden="false" customHeight="false" outlineLevel="0" collapsed="false">
      <c r="A2" s="3" t="s">
        <v>21</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0" hidden="false" customHeight="true" outlineLevel="0" collapsed="false">
      <c r="A4" s="6" t="s">
        <v>22</v>
      </c>
      <c r="B4" s="6" t="s">
        <v>23</v>
      </c>
      <c r="C4" s="6" t="s">
        <v>24</v>
      </c>
      <c r="D4" s="6" t="s">
        <v>25</v>
      </c>
      <c r="E4" s="6" t="s">
        <v>26</v>
      </c>
      <c r="F4" s="6" t="s">
        <v>27</v>
      </c>
      <c r="G4" s="6" t="s">
        <v>28</v>
      </c>
      <c r="H4" s="6" t="s">
        <v>29</v>
      </c>
      <c r="I4" s="6" t="s">
        <v>30</v>
      </c>
      <c r="J4" s="6" t="s">
        <v>31</v>
      </c>
      <c r="K4" s="6" t="s">
        <v>32</v>
      </c>
    </row>
    <row r="5" customFormat="false" ht="15" hidden="false" customHeight="false" outlineLevel="0" collapsed="false">
      <c r="A5" s="7" t="s">
        <v>33</v>
      </c>
      <c r="B5" s="8" t="n">
        <f aca="false">COUNTIF(Plan!$B$2:$B$400,$A5)</f>
        <v>9</v>
      </c>
      <c r="C5" s="8" t="n">
        <f aca="false">COUNTIFS(Plan!$B$2:$B$400,$A5,Plan!$G$2:$G$400,"Done")</f>
        <v>0</v>
      </c>
      <c r="D5" s="8" t="n">
        <f aca="false">COUNTIFS(Plan!$B$2:$B$400,$A5,Plan!$G$2:$G$400,"In progress")</f>
        <v>4</v>
      </c>
      <c r="E5" s="8" t="n">
        <f aca="false">COUNTIFS(Plan!$B$2:$B$400,$A5,Plan!$G$2:$G$400,"Ongoing")</f>
        <v>0</v>
      </c>
      <c r="F5" s="8" t="n">
        <f aca="false">COUNTIFS(Plan!$B$2:$B$400,$A5,Plan!$G$2:$G$400,"Not started")</f>
        <v>5</v>
      </c>
      <c r="G5" s="8" t="n">
        <f aca="false">COUNTIFS(Plan!$B$2:$B$400,$A5,Plan!$G$2:$G$400,"Blocked")</f>
        <v>0</v>
      </c>
      <c r="H5" s="8" t="n">
        <f aca="false">COUNTIFS(Plan!$B$2:$B$400,$A5,Plan!$H$2:$H$400,"Amber")</f>
        <v>2</v>
      </c>
      <c r="I5" s="8" t="n">
        <f aca="false">COUNTIFS(Plan!$B$2:$B$400,$A5,Plan!$H$2:$H$400,"Red")</f>
        <v>0</v>
      </c>
      <c r="J5" s="9" t="n">
        <f aca="false">IF($B5=0,"",$C5/$B5)</f>
        <v>0</v>
      </c>
      <c r="K5" s="10" t="n">
        <f aca="false">IF(_xlfn.MINIFS(Plan!$J$2:$J$400,Plan!$B$2:$B$400,$A5,Plan!$G$2:$G$400,"&lt;&gt;Done")=0,"",_xlfn.MINIFS(Plan!$J$2:$J$400,Plan!$B$2:$B$400,$A5,Plan!$G$2:$G$400,"&lt;&gt;Done"))</f>
        <v>46321</v>
      </c>
    </row>
    <row r="6" customFormat="false" ht="15" hidden="false" customHeight="false" outlineLevel="0" collapsed="false">
      <c r="A6" s="7" t="s">
        <v>34</v>
      </c>
      <c r="B6" s="8" t="n">
        <f aca="false">COUNTIF(Plan!$B$2:$B$400,$A6)</f>
        <v>8</v>
      </c>
      <c r="C6" s="8" t="n">
        <f aca="false">COUNTIFS(Plan!$B$2:$B$400,$A6,Plan!$G$2:$G$400,"Done")</f>
        <v>0</v>
      </c>
      <c r="D6" s="8" t="n">
        <f aca="false">COUNTIFS(Plan!$B$2:$B$400,$A6,Plan!$G$2:$G$400,"In progress")</f>
        <v>0</v>
      </c>
      <c r="E6" s="8" t="n">
        <f aca="false">COUNTIFS(Plan!$B$2:$B$400,$A6,Plan!$G$2:$G$400,"Ongoing")</f>
        <v>0</v>
      </c>
      <c r="F6" s="8" t="n">
        <f aca="false">COUNTIFS(Plan!$B$2:$B$400,$A6,Plan!$G$2:$G$400,"Not started")</f>
        <v>8</v>
      </c>
      <c r="G6" s="8" t="n">
        <f aca="false">COUNTIFS(Plan!$B$2:$B$400,$A6,Plan!$G$2:$G$400,"Blocked")</f>
        <v>0</v>
      </c>
      <c r="H6" s="8" t="n">
        <f aca="false">COUNTIFS(Plan!$B$2:$B$400,$A6,Plan!$H$2:$H$400,"Amber")</f>
        <v>2</v>
      </c>
      <c r="I6" s="8" t="n">
        <f aca="false">COUNTIFS(Plan!$B$2:$B$400,$A6,Plan!$H$2:$H$400,"Red")</f>
        <v>0</v>
      </c>
      <c r="J6" s="9" t="n">
        <f aca="false">IF($B6=0,"",$C6/$B6)</f>
        <v>0</v>
      </c>
      <c r="K6" s="10" t="n">
        <f aca="false">IF(_xlfn.MINIFS(Plan!$J$2:$J$400,Plan!$B$2:$B$400,$A6,Plan!$G$2:$G$400,"&lt;&gt;Done")=0,"",_xlfn.MINIFS(Plan!$J$2:$J$400,Plan!$B$2:$B$400,$A6,Plan!$G$2:$G$400,"&lt;&gt;Done"))</f>
        <v>46332</v>
      </c>
    </row>
    <row r="7" customFormat="false" ht="15" hidden="false" customHeight="false" outlineLevel="0" collapsed="false">
      <c r="A7" s="7" t="s">
        <v>35</v>
      </c>
      <c r="B7" s="8" t="n">
        <f aca="false">COUNTIF(Plan!$B$2:$B$400,$A7)</f>
        <v>7</v>
      </c>
      <c r="C7" s="8" t="n">
        <f aca="false">COUNTIFS(Plan!$B$2:$B$400,$A7,Plan!$G$2:$G$400,"Done")</f>
        <v>0</v>
      </c>
      <c r="D7" s="8" t="n">
        <f aca="false">COUNTIFS(Plan!$B$2:$B$400,$A7,Plan!$G$2:$G$400,"In progress")</f>
        <v>1</v>
      </c>
      <c r="E7" s="8" t="n">
        <f aca="false">COUNTIFS(Plan!$B$2:$B$400,$A7,Plan!$G$2:$G$400,"Ongoing")</f>
        <v>0</v>
      </c>
      <c r="F7" s="8" t="n">
        <f aca="false">COUNTIFS(Plan!$B$2:$B$400,$A7,Plan!$G$2:$G$400,"Not started")</f>
        <v>6</v>
      </c>
      <c r="G7" s="8" t="n">
        <f aca="false">COUNTIFS(Plan!$B$2:$B$400,$A7,Plan!$G$2:$G$400,"Blocked")</f>
        <v>0</v>
      </c>
      <c r="H7" s="8" t="n">
        <f aca="false">COUNTIFS(Plan!$B$2:$B$400,$A7,Plan!$H$2:$H$400,"Amber")</f>
        <v>1</v>
      </c>
      <c r="I7" s="8" t="n">
        <f aca="false">COUNTIFS(Plan!$B$2:$B$400,$A7,Plan!$H$2:$H$400,"Red")</f>
        <v>0</v>
      </c>
      <c r="J7" s="9" t="n">
        <f aca="false">IF($B7=0,"",$C7/$B7)</f>
        <v>0</v>
      </c>
      <c r="K7" s="10" t="n">
        <f aca="false">IF(_xlfn.MINIFS(Plan!$J$2:$J$400,Plan!$B$2:$B$400,$A7,Plan!$G$2:$G$400,"&lt;&gt;Done")=0,"",_xlfn.MINIFS(Plan!$J$2:$J$400,Plan!$B$2:$B$400,$A7,Plan!$G$2:$G$400,"&lt;&gt;Done"))</f>
        <v>46332</v>
      </c>
    </row>
    <row r="8" customFormat="false" ht="15" hidden="false" customHeight="false" outlineLevel="0" collapsed="false">
      <c r="A8" s="7" t="s">
        <v>36</v>
      </c>
      <c r="B8" s="8" t="n">
        <f aca="false">COUNTIF(Plan!$B$2:$B$400,$A8)</f>
        <v>8</v>
      </c>
      <c r="C8" s="8" t="n">
        <f aca="false">COUNTIFS(Plan!$B$2:$B$400,$A8,Plan!$G$2:$G$400,"Done")</f>
        <v>0</v>
      </c>
      <c r="D8" s="8" t="n">
        <f aca="false">COUNTIFS(Plan!$B$2:$B$400,$A8,Plan!$G$2:$G$400,"In progress")</f>
        <v>2</v>
      </c>
      <c r="E8" s="8" t="n">
        <f aca="false">COUNTIFS(Plan!$B$2:$B$400,$A8,Plan!$G$2:$G$400,"Ongoing")</f>
        <v>0</v>
      </c>
      <c r="F8" s="8" t="n">
        <f aca="false">COUNTIFS(Plan!$B$2:$B$400,$A8,Plan!$G$2:$G$400,"Not started")</f>
        <v>6</v>
      </c>
      <c r="G8" s="8" t="n">
        <f aca="false">COUNTIFS(Plan!$B$2:$B$400,$A8,Plan!$G$2:$G$400,"Blocked")</f>
        <v>0</v>
      </c>
      <c r="H8" s="8" t="n">
        <f aca="false">COUNTIFS(Plan!$B$2:$B$400,$A8,Plan!$H$2:$H$400,"Amber")</f>
        <v>0</v>
      </c>
      <c r="I8" s="8" t="n">
        <f aca="false">COUNTIFS(Plan!$B$2:$B$400,$A8,Plan!$H$2:$H$400,"Red")</f>
        <v>0</v>
      </c>
      <c r="J8" s="9" t="n">
        <f aca="false">IF($B8=0,"",$C8/$B8)</f>
        <v>0</v>
      </c>
      <c r="K8" s="10" t="n">
        <f aca="false">IF(_xlfn.MINIFS(Plan!$J$2:$J$400,Plan!$B$2:$B$400,$A8,Plan!$G$2:$G$400,"&lt;&gt;Done")=0,"",_xlfn.MINIFS(Plan!$J$2:$J$400,Plan!$B$2:$B$400,$A8,Plan!$G$2:$G$400,"&lt;&gt;Done"))</f>
        <v>46332</v>
      </c>
    </row>
    <row r="9" customFormat="false" ht="15" hidden="false" customHeight="false" outlineLevel="0" collapsed="false">
      <c r="A9" s="7" t="s">
        <v>37</v>
      </c>
      <c r="B9" s="8" t="n">
        <f aca="false">COUNTIF(Plan!$B$2:$B$400,$A9)</f>
        <v>8</v>
      </c>
      <c r="C9" s="8" t="n">
        <f aca="false">COUNTIFS(Plan!$B$2:$B$400,$A9,Plan!$G$2:$G$400,"Done")</f>
        <v>0</v>
      </c>
      <c r="D9" s="8" t="n">
        <f aca="false">COUNTIFS(Plan!$B$2:$B$400,$A9,Plan!$G$2:$G$400,"In progress")</f>
        <v>0</v>
      </c>
      <c r="E9" s="8" t="n">
        <f aca="false">COUNTIFS(Plan!$B$2:$B$400,$A9,Plan!$G$2:$G$400,"Ongoing")</f>
        <v>0</v>
      </c>
      <c r="F9" s="8" t="n">
        <f aca="false">COUNTIFS(Plan!$B$2:$B$400,$A9,Plan!$G$2:$G$400,"Not started")</f>
        <v>8</v>
      </c>
      <c r="G9" s="8" t="n">
        <f aca="false">COUNTIFS(Plan!$B$2:$B$400,$A9,Plan!$G$2:$G$400,"Blocked")</f>
        <v>0</v>
      </c>
      <c r="H9" s="8" t="n">
        <f aca="false">COUNTIFS(Plan!$B$2:$B$400,$A9,Plan!$H$2:$H$400,"Amber")</f>
        <v>0</v>
      </c>
      <c r="I9" s="8" t="n">
        <f aca="false">COUNTIFS(Plan!$B$2:$B$400,$A9,Plan!$H$2:$H$400,"Red")</f>
        <v>0</v>
      </c>
      <c r="J9" s="9" t="n">
        <f aca="false">IF($B9=0,"",$C9/$B9)</f>
        <v>0</v>
      </c>
      <c r="K9" s="10" t="n">
        <f aca="false">IF(_xlfn.MINIFS(Plan!$J$2:$J$400,Plan!$B$2:$B$400,$A9,Plan!$G$2:$G$400,"&lt;&gt;Done")=0,"",_xlfn.MINIFS(Plan!$J$2:$J$400,Plan!$B$2:$B$400,$A9,Plan!$G$2:$G$400,"&lt;&gt;Done"))</f>
        <v>46332</v>
      </c>
    </row>
    <row r="10" customFormat="false" ht="15" hidden="false" customHeight="false" outlineLevel="0" collapsed="false">
      <c r="A10" s="7" t="s">
        <v>38</v>
      </c>
      <c r="B10" s="8" t="n">
        <f aca="false">COUNTIF(Plan!$B$2:$B$400,$A10)</f>
        <v>5</v>
      </c>
      <c r="C10" s="8" t="n">
        <f aca="false">COUNTIFS(Plan!$B$2:$B$400,$A10,Plan!$G$2:$G$400,"Done")</f>
        <v>0</v>
      </c>
      <c r="D10" s="8" t="n">
        <f aca="false">COUNTIFS(Plan!$B$2:$B$400,$A10,Plan!$G$2:$G$400,"In progress")</f>
        <v>0</v>
      </c>
      <c r="E10" s="8" t="n">
        <f aca="false">COUNTIFS(Plan!$B$2:$B$400,$A10,Plan!$G$2:$G$400,"Ongoing")</f>
        <v>0</v>
      </c>
      <c r="F10" s="8" t="n">
        <f aca="false">COUNTIFS(Plan!$B$2:$B$400,$A10,Plan!$G$2:$G$400,"Not started")</f>
        <v>5</v>
      </c>
      <c r="G10" s="8" t="n">
        <f aca="false">COUNTIFS(Plan!$B$2:$B$400,$A10,Plan!$G$2:$G$400,"Blocked")</f>
        <v>0</v>
      </c>
      <c r="H10" s="8" t="n">
        <f aca="false">COUNTIFS(Plan!$B$2:$B$400,$A10,Plan!$H$2:$H$400,"Amber")</f>
        <v>0</v>
      </c>
      <c r="I10" s="8" t="n">
        <f aca="false">COUNTIFS(Plan!$B$2:$B$400,$A10,Plan!$H$2:$H$400,"Red")</f>
        <v>0</v>
      </c>
      <c r="J10" s="9" t="n">
        <f aca="false">IF($B10=0,"",$C10/$B10)</f>
        <v>0</v>
      </c>
      <c r="K10" s="10" t="n">
        <f aca="false">IF(_xlfn.MINIFS(Plan!$J$2:$J$400,Plan!$B$2:$B$400,$A10,Plan!$G$2:$G$400,"&lt;&gt;Done")=0,"",_xlfn.MINIFS(Plan!$J$2:$J$400,Plan!$B$2:$B$400,$A10,Plan!$G$2:$G$400,"&lt;&gt;Done"))</f>
        <v>46416</v>
      </c>
    </row>
    <row r="11" customFormat="false" ht="15" hidden="false" customHeight="false" outlineLevel="0" collapsed="false">
      <c r="A11" s="7" t="s">
        <v>39</v>
      </c>
      <c r="B11" s="8" t="n">
        <f aca="false">COUNTIF(Plan!$B$2:$B$400,$A11)</f>
        <v>5</v>
      </c>
      <c r="C11" s="8" t="n">
        <f aca="false">COUNTIFS(Plan!$B$2:$B$400,$A11,Plan!$G$2:$G$400,"Done")</f>
        <v>0</v>
      </c>
      <c r="D11" s="8" t="n">
        <f aca="false">COUNTIFS(Plan!$B$2:$B$400,$A11,Plan!$G$2:$G$400,"In progress")</f>
        <v>0</v>
      </c>
      <c r="E11" s="8" t="n">
        <f aca="false">COUNTIFS(Plan!$B$2:$B$400,$A11,Plan!$G$2:$G$400,"Ongoing")</f>
        <v>0</v>
      </c>
      <c r="F11" s="8" t="n">
        <f aca="false">COUNTIFS(Plan!$B$2:$B$400,$A11,Plan!$G$2:$G$400,"Not started")</f>
        <v>5</v>
      </c>
      <c r="G11" s="8" t="n">
        <f aca="false">COUNTIFS(Plan!$B$2:$B$400,$A11,Plan!$G$2:$G$400,"Blocked")</f>
        <v>0</v>
      </c>
      <c r="H11" s="8" t="n">
        <f aca="false">COUNTIFS(Plan!$B$2:$B$400,$A11,Plan!$H$2:$H$400,"Amber")</f>
        <v>1</v>
      </c>
      <c r="I11" s="8" t="n">
        <f aca="false">COUNTIFS(Plan!$B$2:$B$400,$A11,Plan!$H$2:$H$400,"Red")</f>
        <v>0</v>
      </c>
      <c r="J11" s="9" t="n">
        <f aca="false">IF($B11=0,"",$C11/$B11)</f>
        <v>0</v>
      </c>
      <c r="K11" s="10" t="n">
        <f aca="false">IF(_xlfn.MINIFS(Plan!$J$2:$J$400,Plan!$B$2:$B$400,$A11,Plan!$G$2:$G$400,"&lt;&gt;Done")=0,"",_xlfn.MINIFS(Plan!$J$2:$J$400,Plan!$B$2:$B$400,$A11,Plan!$G$2:$G$400,"&lt;&gt;Done"))</f>
        <v>46353</v>
      </c>
    </row>
    <row r="12" customFormat="false" ht="15" hidden="false" customHeight="false" outlineLevel="0" collapsed="false">
      <c r="A12" s="7" t="s">
        <v>40</v>
      </c>
      <c r="B12" s="8" t="n">
        <f aca="false">COUNTIF(Plan!$B$2:$B$400,$A12)</f>
        <v>4</v>
      </c>
      <c r="C12" s="8" t="n">
        <f aca="false">COUNTIFS(Plan!$B$2:$B$400,$A12,Plan!$G$2:$G$400,"Done")</f>
        <v>0</v>
      </c>
      <c r="D12" s="8" t="n">
        <f aca="false">COUNTIFS(Plan!$B$2:$B$400,$A12,Plan!$G$2:$G$400,"In progress")</f>
        <v>0</v>
      </c>
      <c r="E12" s="8" t="n">
        <f aca="false">COUNTIFS(Plan!$B$2:$B$400,$A12,Plan!$G$2:$G$400,"Ongoing")</f>
        <v>0</v>
      </c>
      <c r="F12" s="8" t="n">
        <f aca="false">COUNTIFS(Plan!$B$2:$B$400,$A12,Plan!$G$2:$G$400,"Not started")</f>
        <v>4</v>
      </c>
      <c r="G12" s="8" t="n">
        <f aca="false">COUNTIFS(Plan!$B$2:$B$400,$A12,Plan!$G$2:$G$400,"Blocked")</f>
        <v>0</v>
      </c>
      <c r="H12" s="8" t="n">
        <f aca="false">COUNTIFS(Plan!$B$2:$B$400,$A12,Plan!$H$2:$H$400,"Amber")</f>
        <v>0</v>
      </c>
      <c r="I12" s="8" t="n">
        <f aca="false">COUNTIFS(Plan!$B$2:$B$400,$A12,Plan!$H$2:$H$400,"Red")</f>
        <v>0</v>
      </c>
      <c r="J12" s="9" t="n">
        <f aca="false">IF($B12=0,"",$C12/$B12)</f>
        <v>0</v>
      </c>
      <c r="K12" s="10" t="n">
        <f aca="false">IF(_xlfn.MINIFS(Plan!$J$2:$J$400,Plan!$B$2:$B$400,$A12,Plan!$G$2:$G$400,"&lt;&gt;Done")=0,"",_xlfn.MINIFS(Plan!$J$2:$J$400,Plan!$B$2:$B$400,$A12,Plan!$G$2:$G$400,"&lt;&gt;Done"))</f>
        <v>46626</v>
      </c>
    </row>
    <row r="13" customFormat="false" ht="15" hidden="false" customHeight="false" outlineLevel="0" collapsed="false">
      <c r="A13" s="11" t="s">
        <v>41</v>
      </c>
      <c r="B13" s="12" t="n">
        <f aca="false">SUM(B5:B12)</f>
        <v>54</v>
      </c>
      <c r="C13" s="12" t="n">
        <f aca="false">SUM(C5:C12)</f>
        <v>0</v>
      </c>
      <c r="D13" s="12" t="n">
        <f aca="false">SUM(D5:D12)</f>
        <v>7</v>
      </c>
      <c r="E13" s="12" t="n">
        <f aca="false">SUM(E5:E12)</f>
        <v>0</v>
      </c>
      <c r="F13" s="12" t="n">
        <f aca="false">SUM(F5:F12)</f>
        <v>47</v>
      </c>
      <c r="G13" s="12" t="n">
        <f aca="false">SUM(G5:G12)</f>
        <v>0</v>
      </c>
      <c r="H13" s="12" t="n">
        <f aca="false">SUM(H5:H12)</f>
        <v>6</v>
      </c>
      <c r="I13" s="12" t="n">
        <f aca="false">SUM(I5:I12)</f>
        <v>0</v>
      </c>
      <c r="J13" s="13" t="n">
        <f aca="false">IF($B13=0,"",$C13/$B13)</f>
        <v>0</v>
      </c>
      <c r="K13" s="14" t="n">
        <f aca="false">IF(_xlfn.MINIFS(Plan!$J$2:$J$400,Plan!$G$2:$G$400,"&lt;&gt;Done")=0,"",_xlfn.MINIFS(Plan!$J$2:$J$400,Plan!$G$2:$G$400,"&lt;&gt;Done"))</f>
        <v>46321</v>
      </c>
    </row>
    <row r="14" customFormat="false" ht="15" hidden="false" customHeight="false" outlineLevel="0" collapsed="false">
      <c r="A14" s="2"/>
      <c r="B14" s="2"/>
      <c r="C14" s="2"/>
      <c r="D14" s="2"/>
      <c r="E14" s="2"/>
      <c r="F14" s="2"/>
      <c r="G14" s="2"/>
      <c r="H14" s="2"/>
      <c r="I14" s="2"/>
      <c r="J14" s="2"/>
      <c r="K14" s="2"/>
    </row>
    <row r="15" customFormat="false" ht="15" hidden="false" customHeight="false" outlineLevel="0" collapsed="false">
      <c r="A15" s="15" t="s">
        <v>42</v>
      </c>
      <c r="B15" s="2"/>
      <c r="C15" s="2"/>
      <c r="D15" s="2"/>
      <c r="E15" s="2"/>
      <c r="F15" s="2"/>
      <c r="G15" s="2"/>
      <c r="H15" s="2"/>
      <c r="I15" s="2"/>
      <c r="J15" s="2"/>
      <c r="K15" s="2"/>
    </row>
    <row r="16" customFormat="false" ht="15" hidden="false" customHeight="false" outlineLevel="0" collapsed="false">
      <c r="A16" s="16" t="s">
        <v>43</v>
      </c>
      <c r="B16" s="17" t="n">
        <f aca="true">COUNTIFS(Plan!$J$2:$J$400,"&gt;="&amp;TODAY(),Plan!$J$2:$J$400,"&lt;="&amp;TODAY()+14,Plan!$G$2:$G$400,"&lt;&gt;Done")</f>
        <v>11</v>
      </c>
      <c r="C16" s="2"/>
      <c r="D16" s="2"/>
      <c r="E16" s="2"/>
      <c r="F16" s="2"/>
      <c r="G16" s="2"/>
      <c r="H16" s="2"/>
      <c r="I16" s="2"/>
      <c r="J16" s="2"/>
      <c r="K16" s="2"/>
    </row>
    <row r="17" customFormat="false" ht="15" hidden="false" customHeight="false" outlineLevel="0" collapsed="false">
      <c r="A17" s="16" t="s">
        <v>44</v>
      </c>
      <c r="B17" s="17" t="n">
        <f aca="true">COUNTIFS(Plan!$J$2:$J$400,"&lt;"&amp;TODAY(),Plan!$G$2:$G$400,"&lt;&gt;Done",Plan!$G$2:$G$400,"&lt;&gt;Ongoing")</f>
        <v>0</v>
      </c>
      <c r="C17" s="2"/>
      <c r="D17" s="2"/>
      <c r="E17" s="2"/>
      <c r="F17" s="2"/>
      <c r="G17" s="2"/>
      <c r="H17" s="2"/>
      <c r="I17" s="2"/>
      <c r="J17" s="2"/>
      <c r="K17" s="2"/>
    </row>
    <row r="18" customFormat="false" ht="15" hidden="false" customHeight="false" outlineLevel="0" collapsed="false">
      <c r="A18" s="16" t="s">
        <v>45</v>
      </c>
      <c r="B18" s="18" t="n">
        <f aca="false">KPIs!$F$6</f>
        <v>27</v>
      </c>
      <c r="C18" s="2"/>
      <c r="D18" s="2"/>
      <c r="E18" s="2"/>
      <c r="F18" s="2"/>
      <c r="G18" s="2"/>
      <c r="H18" s="2"/>
      <c r="I18" s="2"/>
      <c r="J18" s="2"/>
      <c r="K18" s="2"/>
    </row>
    <row r="19" customFormat="false" ht="15" hidden="false" customHeight="false" outlineLevel="0" collapsed="false">
      <c r="A19" s="16" t="s">
        <v>46</v>
      </c>
      <c r="B19" s="18" t="n">
        <f aca="false">KPIs!$G$6</f>
        <v>40</v>
      </c>
      <c r="C19" s="2"/>
      <c r="D19" s="2"/>
      <c r="E19" s="2"/>
      <c r="F19" s="2"/>
      <c r="G19" s="2"/>
      <c r="H19" s="2"/>
      <c r="I19" s="2"/>
      <c r="J19" s="2"/>
      <c r="K19" s="2"/>
    </row>
    <row r="20" customFormat="false" ht="15" hidden="false" customHeight="false" outlineLevel="0" collapsed="false">
      <c r="A20" s="16" t="s">
        <v>47</v>
      </c>
      <c r="B20" s="18" t="n">
        <f aca="false">KPIs!$H$6</f>
        <v>48</v>
      </c>
      <c r="C20" s="2"/>
      <c r="D20" s="2"/>
      <c r="E20" s="2"/>
      <c r="F20" s="2"/>
      <c r="G20" s="2"/>
      <c r="H20" s="2"/>
      <c r="I20" s="2"/>
      <c r="J20" s="2"/>
      <c r="K20" s="2"/>
    </row>
    <row r="21" customFormat="false" ht="15" hidden="false" customHeight="false" outlineLevel="0" collapsed="false">
      <c r="A21" s="16" t="s">
        <v>48</v>
      </c>
      <c r="B21" s="19" t="n">
        <f aca="true">IF(TODAY()&lt;DATE(2026,10,26),DATE(2026,10,26),DATE(2026,10,26)+14*CEILING((TODAY()-DATE(2026,10,26))/14,1))</f>
        <v>46321</v>
      </c>
      <c r="C21" s="2"/>
      <c r="D21" s="2"/>
      <c r="E21" s="2"/>
      <c r="F21" s="2"/>
      <c r="G21" s="2"/>
      <c r="H21" s="2"/>
      <c r="I21" s="2"/>
      <c r="J21" s="2"/>
      <c r="K21" s="2"/>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6A70"/>
    <pageSetUpPr fitToPage="true"/>
  </sheetPr>
  <dimension ref="A1:O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0"/>
    <col collapsed="false" customWidth="true" hidden="false" outlineLevel="0" max="4" min="4" style="0" width="50"/>
    <col collapsed="false" customWidth="true" hidden="false" outlineLevel="0" max="5" min="5" style="0" width="40"/>
    <col collapsed="false" customWidth="true" hidden="false" outlineLevel="0" max="6" min="6" style="0" width="30"/>
    <col collapsed="false" customWidth="true" hidden="false" outlineLevel="0" max="7" min="7" style="0" width="12"/>
    <col collapsed="false" customWidth="true" hidden="false" outlineLevel="0" max="8" min="8" style="0" width="9"/>
    <col collapsed="false" customWidth="true" hidden="false" outlineLevel="0" max="10" min="9" style="0" width="16"/>
    <col collapsed="false" customWidth="true" hidden="false" outlineLevel="0" max="11" min="11" style="0" width="22"/>
    <col collapsed="false" customWidth="true" hidden="false" outlineLevel="0" max="12" min="12" style="0" width="30"/>
    <col collapsed="false" customWidth="true" hidden="false" outlineLevel="0" max="13" min="13" style="0" width="11"/>
    <col collapsed="false" customWidth="true" hidden="false" outlineLevel="0" max="14" min="14" style="0" width="10"/>
    <col collapsed="false" customWidth="true" hidden="false" outlineLevel="0" max="15" min="15" style="0" width="30"/>
  </cols>
  <sheetData>
    <row r="1" customFormat="false" ht="30" hidden="false" customHeight="true" outlineLevel="0" collapsed="false">
      <c r="A1" s="6" t="s">
        <v>49</v>
      </c>
      <c r="B1" s="6" t="s">
        <v>22</v>
      </c>
      <c r="C1" s="6" t="s">
        <v>50</v>
      </c>
      <c r="D1" s="6" t="s">
        <v>51</v>
      </c>
      <c r="E1" s="6" t="s">
        <v>52</v>
      </c>
      <c r="F1" s="6" t="s">
        <v>53</v>
      </c>
      <c r="G1" s="6" t="s">
        <v>54</v>
      </c>
      <c r="H1" s="6" t="s">
        <v>10</v>
      </c>
      <c r="I1" s="6" t="s">
        <v>55</v>
      </c>
      <c r="J1" s="6" t="s">
        <v>56</v>
      </c>
      <c r="K1" s="6" t="s">
        <v>57</v>
      </c>
      <c r="L1" s="6" t="s">
        <v>58</v>
      </c>
      <c r="M1" s="6" t="s">
        <v>59</v>
      </c>
      <c r="N1" s="6" t="s">
        <v>60</v>
      </c>
      <c r="O1" s="6" t="s">
        <v>61</v>
      </c>
    </row>
    <row r="2" customFormat="false" ht="45" hidden="false" customHeight="true" outlineLevel="0" collapsed="false">
      <c r="A2" s="20" t="s">
        <v>62</v>
      </c>
      <c r="B2" s="21" t="s">
        <v>33</v>
      </c>
      <c r="C2" s="21" t="s">
        <v>63</v>
      </c>
      <c r="D2" s="21" t="s">
        <v>64</v>
      </c>
      <c r="E2" s="21" t="s">
        <v>65</v>
      </c>
      <c r="F2" s="21" t="s">
        <v>66</v>
      </c>
      <c r="G2" s="20" t="s">
        <v>25</v>
      </c>
      <c r="H2" s="20" t="s">
        <v>67</v>
      </c>
      <c r="I2" s="22" t="n">
        <v>46318</v>
      </c>
      <c r="J2" s="22" t="n">
        <v>46321</v>
      </c>
      <c r="K2" s="21" t="s">
        <v>68</v>
      </c>
      <c r="L2" s="21" t="s">
        <v>69</v>
      </c>
      <c r="M2" s="20"/>
      <c r="N2" s="20" t="s">
        <v>70</v>
      </c>
      <c r="O2" s="21" t="s">
        <v>71</v>
      </c>
    </row>
    <row r="3" customFormat="false" ht="45" hidden="false" customHeight="true" outlineLevel="0" collapsed="false">
      <c r="A3" s="20" t="s">
        <v>72</v>
      </c>
      <c r="B3" s="21" t="s">
        <v>33</v>
      </c>
      <c r="C3" s="21" t="s">
        <v>73</v>
      </c>
      <c r="D3" s="21" t="s">
        <v>74</v>
      </c>
      <c r="E3" s="21" t="s">
        <v>75</v>
      </c>
      <c r="F3" s="21" t="s">
        <v>76</v>
      </c>
      <c r="G3" s="20" t="s">
        <v>25</v>
      </c>
      <c r="H3" s="20" t="s">
        <v>29</v>
      </c>
      <c r="I3" s="22" t="n">
        <v>46321</v>
      </c>
      <c r="J3" s="22" t="n">
        <v>46323</v>
      </c>
      <c r="K3" s="21" t="s">
        <v>77</v>
      </c>
      <c r="L3" s="21" t="s">
        <v>78</v>
      </c>
      <c r="M3" s="20" t="s">
        <v>62</v>
      </c>
      <c r="N3" s="20" t="s">
        <v>70</v>
      </c>
      <c r="O3" s="21"/>
    </row>
    <row r="4" customFormat="false" ht="31.5" hidden="false" customHeight="true" outlineLevel="0" collapsed="false">
      <c r="A4" s="20" t="s">
        <v>79</v>
      </c>
      <c r="B4" s="21" t="s">
        <v>33</v>
      </c>
      <c r="C4" s="21" t="s">
        <v>80</v>
      </c>
      <c r="D4" s="21" t="s">
        <v>81</v>
      </c>
      <c r="E4" s="21" t="s">
        <v>82</v>
      </c>
      <c r="F4" s="21" t="s">
        <v>83</v>
      </c>
      <c r="G4" s="20" t="s">
        <v>27</v>
      </c>
      <c r="H4" s="20" t="s">
        <v>67</v>
      </c>
      <c r="I4" s="22" t="n">
        <v>46324</v>
      </c>
      <c r="J4" s="22" t="n">
        <v>46324</v>
      </c>
      <c r="K4" s="21" t="s">
        <v>68</v>
      </c>
      <c r="L4" s="21" t="s">
        <v>84</v>
      </c>
      <c r="M4" s="20" t="s">
        <v>72</v>
      </c>
      <c r="N4" s="20" t="s">
        <v>70</v>
      </c>
      <c r="O4" s="21"/>
    </row>
    <row r="5" customFormat="false" ht="58.5" hidden="false" customHeight="true" outlineLevel="0" collapsed="false">
      <c r="A5" s="20" t="s">
        <v>85</v>
      </c>
      <c r="B5" s="21" t="s">
        <v>33</v>
      </c>
      <c r="C5" s="21" t="s">
        <v>86</v>
      </c>
      <c r="D5" s="21" t="s">
        <v>87</v>
      </c>
      <c r="E5" s="21" t="s">
        <v>88</v>
      </c>
      <c r="F5" s="21" t="s">
        <v>89</v>
      </c>
      <c r="G5" s="20" t="s">
        <v>27</v>
      </c>
      <c r="H5" s="20" t="s">
        <v>67</v>
      </c>
      <c r="I5" s="22" t="n">
        <v>46324</v>
      </c>
      <c r="J5" s="22" t="n">
        <v>46689</v>
      </c>
      <c r="K5" s="21" t="s">
        <v>68</v>
      </c>
      <c r="L5" s="21" t="s">
        <v>90</v>
      </c>
      <c r="M5" s="20" t="s">
        <v>79</v>
      </c>
      <c r="N5" s="20" t="s">
        <v>70</v>
      </c>
      <c r="O5" s="21" t="s">
        <v>91</v>
      </c>
    </row>
    <row r="6" customFormat="false" ht="72" hidden="false" customHeight="true" outlineLevel="0" collapsed="false">
      <c r="A6" s="20" t="s">
        <v>92</v>
      </c>
      <c r="B6" s="21" t="s">
        <v>33</v>
      </c>
      <c r="C6" s="21" t="s">
        <v>93</v>
      </c>
      <c r="D6" s="21" t="s">
        <v>94</v>
      </c>
      <c r="E6" s="21" t="s">
        <v>95</v>
      </c>
      <c r="F6" s="21" t="s">
        <v>96</v>
      </c>
      <c r="G6" s="20" t="s">
        <v>27</v>
      </c>
      <c r="H6" s="20" t="s">
        <v>29</v>
      </c>
      <c r="I6" s="22" t="n">
        <v>46321</v>
      </c>
      <c r="J6" s="22" t="n">
        <v>46332</v>
      </c>
      <c r="K6" s="21" t="s">
        <v>68</v>
      </c>
      <c r="L6" s="21" t="s">
        <v>97</v>
      </c>
      <c r="M6" s="20"/>
      <c r="N6" s="20" t="s">
        <v>70</v>
      </c>
      <c r="O6" s="21"/>
    </row>
    <row r="7" customFormat="false" ht="45" hidden="false" customHeight="true" outlineLevel="0" collapsed="false">
      <c r="A7" s="20" t="s">
        <v>98</v>
      </c>
      <c r="B7" s="21" t="s">
        <v>33</v>
      </c>
      <c r="C7" s="21" t="s">
        <v>99</v>
      </c>
      <c r="D7" s="21" t="s">
        <v>100</v>
      </c>
      <c r="E7" s="21" t="s">
        <v>101</v>
      </c>
      <c r="F7" s="21" t="s">
        <v>102</v>
      </c>
      <c r="G7" s="20" t="s">
        <v>25</v>
      </c>
      <c r="H7" s="20" t="s">
        <v>67</v>
      </c>
      <c r="I7" s="22" t="n">
        <v>46321</v>
      </c>
      <c r="J7" s="22" t="n">
        <v>46325</v>
      </c>
      <c r="K7" s="21" t="s">
        <v>68</v>
      </c>
      <c r="L7" s="21" t="s">
        <v>103</v>
      </c>
      <c r="M7" s="20"/>
      <c r="N7" s="20" t="s">
        <v>70</v>
      </c>
      <c r="O7" s="21" t="s">
        <v>104</v>
      </c>
    </row>
    <row r="8" customFormat="false" ht="72" hidden="false" customHeight="true" outlineLevel="0" collapsed="false">
      <c r="A8" s="20" t="s">
        <v>105</v>
      </c>
      <c r="B8" s="21" t="s">
        <v>33</v>
      </c>
      <c r="C8" s="21" t="s">
        <v>106</v>
      </c>
      <c r="D8" s="21" t="s">
        <v>107</v>
      </c>
      <c r="E8" s="21" t="s">
        <v>108</v>
      </c>
      <c r="F8" s="21" t="s">
        <v>109</v>
      </c>
      <c r="G8" s="20" t="s">
        <v>25</v>
      </c>
      <c r="H8" s="20" t="s">
        <v>67</v>
      </c>
      <c r="I8" s="22" t="n">
        <v>46321</v>
      </c>
      <c r="J8" s="22" t="n">
        <v>46332</v>
      </c>
      <c r="K8" s="21" t="s">
        <v>68</v>
      </c>
      <c r="L8" s="21"/>
      <c r="M8" s="20"/>
      <c r="N8" s="20" t="s">
        <v>70</v>
      </c>
      <c r="O8" s="21" t="s">
        <v>110</v>
      </c>
    </row>
    <row r="9" customFormat="false" ht="45" hidden="false" customHeight="true" outlineLevel="0" collapsed="false">
      <c r="A9" s="20" t="s">
        <v>111</v>
      </c>
      <c r="B9" s="21" t="s">
        <v>33</v>
      </c>
      <c r="C9" s="21" t="s">
        <v>112</v>
      </c>
      <c r="D9" s="21" t="s">
        <v>113</v>
      </c>
      <c r="E9" s="21" t="s">
        <v>114</v>
      </c>
      <c r="F9" s="21" t="s">
        <v>115</v>
      </c>
      <c r="G9" s="20" t="s">
        <v>27</v>
      </c>
      <c r="H9" s="20" t="s">
        <v>67</v>
      </c>
      <c r="I9" s="22" t="n">
        <v>46321</v>
      </c>
      <c r="J9" s="22" t="n">
        <v>46323</v>
      </c>
      <c r="K9" s="21" t="s">
        <v>68</v>
      </c>
      <c r="L9" s="21"/>
      <c r="M9" s="20" t="s">
        <v>62</v>
      </c>
      <c r="N9" s="20" t="s">
        <v>70</v>
      </c>
      <c r="O9" s="21"/>
    </row>
    <row r="10" customFormat="false" ht="45" hidden="false" customHeight="true" outlineLevel="0" collapsed="false">
      <c r="A10" s="20" t="s">
        <v>116</v>
      </c>
      <c r="B10" s="21" t="s">
        <v>33</v>
      </c>
      <c r="C10" s="21" t="s">
        <v>117</v>
      </c>
      <c r="D10" s="21" t="s">
        <v>118</v>
      </c>
      <c r="E10" s="21" t="s">
        <v>119</v>
      </c>
      <c r="F10" s="21" t="s">
        <v>120</v>
      </c>
      <c r="G10" s="20" t="s">
        <v>27</v>
      </c>
      <c r="H10" s="20" t="s">
        <v>67</v>
      </c>
      <c r="I10" s="22" t="n">
        <v>46328</v>
      </c>
      <c r="J10" s="22" t="n">
        <v>46374</v>
      </c>
      <c r="K10" s="21" t="s">
        <v>77</v>
      </c>
      <c r="L10" s="21" t="s">
        <v>121</v>
      </c>
      <c r="M10" s="20" t="s">
        <v>62</v>
      </c>
      <c r="N10" s="20" t="s">
        <v>70</v>
      </c>
      <c r="O10" s="21"/>
    </row>
    <row r="11" customFormat="false" ht="58.5" hidden="false" customHeight="true" outlineLevel="0" collapsed="false">
      <c r="A11" s="20" t="s">
        <v>122</v>
      </c>
      <c r="B11" s="21" t="s">
        <v>34</v>
      </c>
      <c r="C11" s="21" t="s">
        <v>123</v>
      </c>
      <c r="D11" s="21" t="s">
        <v>124</v>
      </c>
      <c r="E11" s="21" t="s">
        <v>125</v>
      </c>
      <c r="F11" s="21" t="s">
        <v>126</v>
      </c>
      <c r="G11" s="20" t="s">
        <v>27</v>
      </c>
      <c r="H11" s="20" t="s">
        <v>29</v>
      </c>
      <c r="I11" s="22" t="n">
        <v>46321</v>
      </c>
      <c r="J11" s="22" t="n">
        <v>46332</v>
      </c>
      <c r="K11" s="21" t="s">
        <v>127</v>
      </c>
      <c r="L11" s="21" t="s">
        <v>128</v>
      </c>
      <c r="M11" s="20" t="s">
        <v>72</v>
      </c>
      <c r="N11" s="20" t="s">
        <v>129</v>
      </c>
      <c r="O11" s="21"/>
    </row>
    <row r="12" customFormat="false" ht="72" hidden="false" customHeight="true" outlineLevel="0" collapsed="false">
      <c r="A12" s="20" t="s">
        <v>130</v>
      </c>
      <c r="B12" s="21" t="s">
        <v>34</v>
      </c>
      <c r="C12" s="21" t="s">
        <v>131</v>
      </c>
      <c r="D12" s="21" t="s">
        <v>132</v>
      </c>
      <c r="E12" s="21" t="s">
        <v>133</v>
      </c>
      <c r="F12" s="21" t="s">
        <v>134</v>
      </c>
      <c r="G12" s="20" t="s">
        <v>27</v>
      </c>
      <c r="H12" s="20" t="s">
        <v>29</v>
      </c>
      <c r="I12" s="22" t="n">
        <v>46328</v>
      </c>
      <c r="J12" s="22" t="n">
        <v>46346</v>
      </c>
      <c r="K12" s="21" t="s">
        <v>127</v>
      </c>
      <c r="L12" s="21" t="s">
        <v>135</v>
      </c>
      <c r="M12" s="20" t="s">
        <v>136</v>
      </c>
      <c r="N12" s="20" t="s">
        <v>129</v>
      </c>
      <c r="O12" s="21"/>
    </row>
    <row r="13" customFormat="false" ht="45" hidden="false" customHeight="true" outlineLevel="0" collapsed="false">
      <c r="A13" s="20" t="s">
        <v>137</v>
      </c>
      <c r="B13" s="21" t="s">
        <v>34</v>
      </c>
      <c r="C13" s="21" t="s">
        <v>138</v>
      </c>
      <c r="D13" s="21" t="s">
        <v>139</v>
      </c>
      <c r="E13" s="21" t="s">
        <v>140</v>
      </c>
      <c r="F13" s="21" t="s">
        <v>141</v>
      </c>
      <c r="G13" s="20" t="s">
        <v>27</v>
      </c>
      <c r="H13" s="20" t="s">
        <v>67</v>
      </c>
      <c r="I13" s="22" t="n">
        <v>46328</v>
      </c>
      <c r="J13" s="22" t="n">
        <v>46353</v>
      </c>
      <c r="K13" s="21" t="s">
        <v>127</v>
      </c>
      <c r="L13" s="21" t="s">
        <v>142</v>
      </c>
      <c r="M13" s="20" t="s">
        <v>122</v>
      </c>
      <c r="N13" s="20" t="s">
        <v>129</v>
      </c>
      <c r="O13" s="21" t="s">
        <v>143</v>
      </c>
    </row>
    <row r="14" customFormat="false" ht="31.5" hidden="false" customHeight="true" outlineLevel="0" collapsed="false">
      <c r="A14" s="20" t="s">
        <v>144</v>
      </c>
      <c r="B14" s="21" t="s">
        <v>34</v>
      </c>
      <c r="C14" s="21" t="s">
        <v>145</v>
      </c>
      <c r="D14" s="21" t="s">
        <v>146</v>
      </c>
      <c r="E14" s="21" t="s">
        <v>147</v>
      </c>
      <c r="F14" s="21" t="s">
        <v>120</v>
      </c>
      <c r="G14" s="20" t="s">
        <v>27</v>
      </c>
      <c r="H14" s="20" t="s">
        <v>67</v>
      </c>
      <c r="I14" s="22" t="n">
        <v>46391</v>
      </c>
      <c r="J14" s="22" t="n">
        <v>46507</v>
      </c>
      <c r="K14" s="21" t="s">
        <v>127</v>
      </c>
      <c r="L14" s="21"/>
      <c r="M14" s="20" t="s">
        <v>137</v>
      </c>
      <c r="N14" s="20" t="s">
        <v>129</v>
      </c>
      <c r="O14" s="21"/>
    </row>
    <row r="15" customFormat="false" ht="45" hidden="false" customHeight="true" outlineLevel="0" collapsed="false">
      <c r="A15" s="20" t="s">
        <v>148</v>
      </c>
      <c r="B15" s="21" t="s">
        <v>34</v>
      </c>
      <c r="C15" s="21" t="s">
        <v>149</v>
      </c>
      <c r="D15" s="21" t="s">
        <v>150</v>
      </c>
      <c r="E15" s="21" t="s">
        <v>151</v>
      </c>
      <c r="F15" s="21" t="s">
        <v>152</v>
      </c>
      <c r="G15" s="20" t="s">
        <v>27</v>
      </c>
      <c r="H15" s="20" t="s">
        <v>67</v>
      </c>
      <c r="I15" s="22" t="n">
        <v>46328</v>
      </c>
      <c r="J15" s="22" t="n">
        <v>46339</v>
      </c>
      <c r="K15" s="21" t="s">
        <v>153</v>
      </c>
      <c r="L15" s="21" t="s">
        <v>154</v>
      </c>
      <c r="M15" s="20" t="s">
        <v>155</v>
      </c>
      <c r="N15" s="20" t="s">
        <v>129</v>
      </c>
      <c r="O15" s="21"/>
    </row>
    <row r="16" customFormat="false" ht="45" hidden="false" customHeight="true" outlineLevel="0" collapsed="false">
      <c r="A16" s="20" t="s">
        <v>156</v>
      </c>
      <c r="B16" s="21" t="s">
        <v>34</v>
      </c>
      <c r="C16" s="21" t="s">
        <v>157</v>
      </c>
      <c r="D16" s="21" t="s">
        <v>158</v>
      </c>
      <c r="E16" s="21" t="s">
        <v>159</v>
      </c>
      <c r="F16" s="21" t="s">
        <v>120</v>
      </c>
      <c r="G16" s="20" t="s">
        <v>27</v>
      </c>
      <c r="H16" s="20" t="s">
        <v>67</v>
      </c>
      <c r="I16" s="22" t="n">
        <v>46328</v>
      </c>
      <c r="J16" s="22" t="n">
        <v>46339</v>
      </c>
      <c r="K16" s="21" t="s">
        <v>127</v>
      </c>
      <c r="L16" s="21"/>
      <c r="M16" s="20" t="s">
        <v>122</v>
      </c>
      <c r="N16" s="20" t="s">
        <v>129</v>
      </c>
      <c r="O16" s="21"/>
    </row>
    <row r="17" customFormat="false" ht="45" hidden="false" customHeight="true" outlineLevel="0" collapsed="false">
      <c r="A17" s="20" t="s">
        <v>160</v>
      </c>
      <c r="B17" s="21" t="s">
        <v>34</v>
      </c>
      <c r="C17" s="21" t="s">
        <v>161</v>
      </c>
      <c r="D17" s="21" t="s">
        <v>162</v>
      </c>
      <c r="E17" s="21" t="s">
        <v>163</v>
      </c>
      <c r="F17" s="21" t="s">
        <v>164</v>
      </c>
      <c r="G17" s="20" t="s">
        <v>27</v>
      </c>
      <c r="H17" s="20" t="s">
        <v>67</v>
      </c>
      <c r="I17" s="22" t="n">
        <v>46360</v>
      </c>
      <c r="J17" s="22" t="n">
        <v>46689</v>
      </c>
      <c r="K17" s="21" t="s">
        <v>127</v>
      </c>
      <c r="L17" s="21"/>
      <c r="M17" s="20" t="s">
        <v>122</v>
      </c>
      <c r="N17" s="20" t="s">
        <v>129</v>
      </c>
      <c r="O17" s="21" t="s">
        <v>165</v>
      </c>
    </row>
    <row r="18" customFormat="false" ht="31.5" hidden="false" customHeight="true" outlineLevel="0" collapsed="false">
      <c r="A18" s="20" t="s">
        <v>166</v>
      </c>
      <c r="B18" s="21" t="s">
        <v>34</v>
      </c>
      <c r="C18" s="21" t="s">
        <v>167</v>
      </c>
      <c r="D18" s="21" t="s">
        <v>168</v>
      </c>
      <c r="E18" s="21" t="s">
        <v>169</v>
      </c>
      <c r="F18" s="21" t="s">
        <v>170</v>
      </c>
      <c r="G18" s="20" t="s">
        <v>27</v>
      </c>
      <c r="H18" s="20" t="s">
        <v>67</v>
      </c>
      <c r="I18" s="22" t="n">
        <v>46328</v>
      </c>
      <c r="J18" s="22" t="n">
        <v>46353</v>
      </c>
      <c r="K18" s="21" t="s">
        <v>153</v>
      </c>
      <c r="L18" s="21" t="s">
        <v>171</v>
      </c>
      <c r="M18" s="20"/>
      <c r="N18" s="20" t="s">
        <v>172</v>
      </c>
      <c r="O18" s="21"/>
    </row>
    <row r="19" customFormat="false" ht="45" hidden="false" customHeight="true" outlineLevel="0" collapsed="false">
      <c r="A19" s="20" t="s">
        <v>173</v>
      </c>
      <c r="B19" s="21" t="s">
        <v>35</v>
      </c>
      <c r="C19" s="21" t="s">
        <v>174</v>
      </c>
      <c r="D19" s="21" t="s">
        <v>175</v>
      </c>
      <c r="E19" s="21" t="s">
        <v>176</v>
      </c>
      <c r="F19" s="21" t="s">
        <v>177</v>
      </c>
      <c r="G19" s="20" t="s">
        <v>25</v>
      </c>
      <c r="H19" s="20" t="s">
        <v>67</v>
      </c>
      <c r="I19" s="22" t="n">
        <v>46321</v>
      </c>
      <c r="J19" s="22" t="n">
        <v>46332</v>
      </c>
      <c r="K19" s="21" t="s">
        <v>68</v>
      </c>
      <c r="L19" s="21" t="s">
        <v>178</v>
      </c>
      <c r="M19" s="20"/>
      <c r="N19" s="20" t="s">
        <v>179</v>
      </c>
      <c r="O19" s="21"/>
    </row>
    <row r="20" customFormat="false" ht="45" hidden="false" customHeight="true" outlineLevel="0" collapsed="false">
      <c r="A20" s="20" t="s">
        <v>180</v>
      </c>
      <c r="B20" s="21" t="s">
        <v>35</v>
      </c>
      <c r="C20" s="21" t="s">
        <v>181</v>
      </c>
      <c r="D20" s="21" t="s">
        <v>182</v>
      </c>
      <c r="E20" s="21" t="s">
        <v>183</v>
      </c>
      <c r="F20" s="21" t="s">
        <v>184</v>
      </c>
      <c r="G20" s="20" t="s">
        <v>27</v>
      </c>
      <c r="H20" s="20" t="s">
        <v>67</v>
      </c>
      <c r="I20" s="22" t="n">
        <v>46328</v>
      </c>
      <c r="J20" s="22" t="n">
        <v>46339</v>
      </c>
      <c r="K20" s="21" t="s">
        <v>185</v>
      </c>
      <c r="L20" s="21"/>
      <c r="M20" s="20" t="s">
        <v>173</v>
      </c>
      <c r="N20" s="20" t="s">
        <v>179</v>
      </c>
      <c r="O20" s="21"/>
    </row>
    <row r="21" customFormat="false" ht="45" hidden="false" customHeight="true" outlineLevel="0" collapsed="false">
      <c r="A21" s="20" t="s">
        <v>186</v>
      </c>
      <c r="B21" s="21" t="s">
        <v>35</v>
      </c>
      <c r="C21" s="21" t="s">
        <v>187</v>
      </c>
      <c r="D21" s="21" t="s">
        <v>188</v>
      </c>
      <c r="E21" s="21" t="s">
        <v>189</v>
      </c>
      <c r="F21" s="21" t="s">
        <v>190</v>
      </c>
      <c r="G21" s="20" t="s">
        <v>27</v>
      </c>
      <c r="H21" s="20" t="s">
        <v>29</v>
      </c>
      <c r="I21" s="22" t="n">
        <v>46328</v>
      </c>
      <c r="J21" s="22" t="n">
        <v>46356</v>
      </c>
      <c r="K21" s="21" t="s">
        <v>185</v>
      </c>
      <c r="L21" s="21" t="s">
        <v>191</v>
      </c>
      <c r="M21" s="20" t="s">
        <v>192</v>
      </c>
      <c r="N21" s="20" t="s">
        <v>179</v>
      </c>
      <c r="O21" s="21" t="s">
        <v>193</v>
      </c>
    </row>
    <row r="22" customFormat="false" ht="31.5" hidden="false" customHeight="true" outlineLevel="0" collapsed="false">
      <c r="A22" s="20" t="s">
        <v>194</v>
      </c>
      <c r="B22" s="21" t="s">
        <v>35</v>
      </c>
      <c r="C22" s="21" t="s">
        <v>195</v>
      </c>
      <c r="D22" s="21" t="s">
        <v>196</v>
      </c>
      <c r="E22" s="21" t="s">
        <v>197</v>
      </c>
      <c r="F22" s="21" t="s">
        <v>120</v>
      </c>
      <c r="G22" s="20" t="s">
        <v>27</v>
      </c>
      <c r="H22" s="20" t="s">
        <v>67</v>
      </c>
      <c r="I22" s="22" t="n">
        <v>46357</v>
      </c>
      <c r="J22" s="22" t="n">
        <v>46416</v>
      </c>
      <c r="K22" s="21" t="s">
        <v>185</v>
      </c>
      <c r="L22" s="21" t="s">
        <v>198</v>
      </c>
      <c r="M22" s="20" t="s">
        <v>186</v>
      </c>
      <c r="N22" s="20" t="s">
        <v>179</v>
      </c>
      <c r="O22" s="21" t="s">
        <v>193</v>
      </c>
    </row>
    <row r="23" customFormat="false" ht="85.5" hidden="false" customHeight="true" outlineLevel="0" collapsed="false">
      <c r="A23" s="20" t="s">
        <v>199</v>
      </c>
      <c r="B23" s="21" t="s">
        <v>35</v>
      </c>
      <c r="C23" s="21" t="s">
        <v>200</v>
      </c>
      <c r="D23" s="21" t="s">
        <v>201</v>
      </c>
      <c r="E23" s="21" t="s">
        <v>202</v>
      </c>
      <c r="F23" s="21" t="s">
        <v>203</v>
      </c>
      <c r="G23" s="20" t="s">
        <v>27</v>
      </c>
      <c r="H23" s="20" t="s">
        <v>67</v>
      </c>
      <c r="I23" s="22" t="n">
        <v>46342</v>
      </c>
      <c r="J23" s="22" t="n">
        <v>46416</v>
      </c>
      <c r="K23" s="21" t="s">
        <v>185</v>
      </c>
      <c r="L23" s="21" t="s">
        <v>204</v>
      </c>
      <c r="M23" s="20" t="s">
        <v>173</v>
      </c>
      <c r="N23" s="20" t="s">
        <v>179</v>
      </c>
      <c r="O23" s="21"/>
    </row>
    <row r="24" customFormat="false" ht="31.5" hidden="false" customHeight="true" outlineLevel="0" collapsed="false">
      <c r="A24" s="20" t="s">
        <v>205</v>
      </c>
      <c r="B24" s="21" t="s">
        <v>35</v>
      </c>
      <c r="C24" s="21" t="s">
        <v>206</v>
      </c>
      <c r="D24" s="21" t="s">
        <v>207</v>
      </c>
      <c r="E24" s="21" t="s">
        <v>208</v>
      </c>
      <c r="F24" s="21" t="s">
        <v>209</v>
      </c>
      <c r="G24" s="20" t="s">
        <v>27</v>
      </c>
      <c r="H24" s="20" t="s">
        <v>67</v>
      </c>
      <c r="I24" s="22" t="n">
        <v>46342</v>
      </c>
      <c r="J24" s="22" t="n">
        <v>46367</v>
      </c>
      <c r="K24" s="21" t="s">
        <v>210</v>
      </c>
      <c r="L24" s="21" t="s">
        <v>211</v>
      </c>
      <c r="M24" s="20" t="s">
        <v>173</v>
      </c>
      <c r="N24" s="20" t="s">
        <v>179</v>
      </c>
      <c r="O24" s="21"/>
    </row>
    <row r="25" customFormat="false" ht="45" hidden="false" customHeight="true" outlineLevel="0" collapsed="false">
      <c r="A25" s="20" t="s">
        <v>212</v>
      </c>
      <c r="B25" s="21" t="s">
        <v>35</v>
      </c>
      <c r="C25" s="21" t="s">
        <v>213</v>
      </c>
      <c r="D25" s="21" t="s">
        <v>214</v>
      </c>
      <c r="E25" s="21" t="s">
        <v>215</v>
      </c>
      <c r="F25" s="21" t="s">
        <v>120</v>
      </c>
      <c r="G25" s="20" t="s">
        <v>27</v>
      </c>
      <c r="H25" s="20" t="s">
        <v>67</v>
      </c>
      <c r="I25" s="22" t="n">
        <v>46391</v>
      </c>
      <c r="J25" s="22" t="n">
        <v>46444</v>
      </c>
      <c r="K25" s="21" t="s">
        <v>185</v>
      </c>
      <c r="L25" s="21" t="s">
        <v>216</v>
      </c>
      <c r="M25" s="20" t="s">
        <v>194</v>
      </c>
      <c r="N25" s="20" t="s">
        <v>179</v>
      </c>
      <c r="O25" s="21"/>
    </row>
    <row r="26" customFormat="false" ht="99" hidden="false" customHeight="true" outlineLevel="0" collapsed="false">
      <c r="A26" s="20" t="s">
        <v>217</v>
      </c>
      <c r="B26" s="21" t="s">
        <v>36</v>
      </c>
      <c r="C26" s="21" t="s">
        <v>218</v>
      </c>
      <c r="D26" s="21" t="s">
        <v>219</v>
      </c>
      <c r="E26" s="21" t="s">
        <v>220</v>
      </c>
      <c r="F26" s="21" t="s">
        <v>221</v>
      </c>
      <c r="G26" s="20" t="s">
        <v>25</v>
      </c>
      <c r="H26" s="20" t="s">
        <v>67</v>
      </c>
      <c r="I26" s="22" t="n">
        <v>46321</v>
      </c>
      <c r="J26" s="22" t="n">
        <v>46332</v>
      </c>
      <c r="K26" s="21" t="s">
        <v>68</v>
      </c>
      <c r="L26" s="21" t="s">
        <v>222</v>
      </c>
      <c r="M26" s="20" t="s">
        <v>92</v>
      </c>
      <c r="N26" s="20" t="s">
        <v>223</v>
      </c>
      <c r="O26" s="21"/>
    </row>
    <row r="27" customFormat="false" ht="85.5" hidden="false" customHeight="true" outlineLevel="0" collapsed="false">
      <c r="A27" s="20" t="s">
        <v>224</v>
      </c>
      <c r="B27" s="21" t="s">
        <v>36</v>
      </c>
      <c r="C27" s="21" t="s">
        <v>225</v>
      </c>
      <c r="D27" s="21" t="s">
        <v>226</v>
      </c>
      <c r="E27" s="21" t="s">
        <v>227</v>
      </c>
      <c r="F27" s="21" t="s">
        <v>228</v>
      </c>
      <c r="G27" s="20" t="s">
        <v>25</v>
      </c>
      <c r="H27" s="20" t="s">
        <v>67</v>
      </c>
      <c r="I27" s="22" t="n">
        <v>46335</v>
      </c>
      <c r="J27" s="22" t="n">
        <v>46346</v>
      </c>
      <c r="K27" s="21" t="s">
        <v>229</v>
      </c>
      <c r="L27" s="21" t="s">
        <v>230</v>
      </c>
      <c r="M27" s="20" t="s">
        <v>217</v>
      </c>
      <c r="N27" s="20" t="s">
        <v>179</v>
      </c>
      <c r="O27" s="21"/>
    </row>
    <row r="28" customFormat="false" ht="45" hidden="false" customHeight="true" outlineLevel="0" collapsed="false">
      <c r="A28" s="20" t="s">
        <v>231</v>
      </c>
      <c r="B28" s="21" t="s">
        <v>36</v>
      </c>
      <c r="C28" s="21" t="s">
        <v>232</v>
      </c>
      <c r="D28" s="21" t="s">
        <v>233</v>
      </c>
      <c r="E28" s="21" t="s">
        <v>234</v>
      </c>
      <c r="F28" s="21" t="s">
        <v>120</v>
      </c>
      <c r="G28" s="20" t="s">
        <v>27</v>
      </c>
      <c r="H28" s="20" t="s">
        <v>67</v>
      </c>
      <c r="I28" s="22" t="n">
        <v>46335</v>
      </c>
      <c r="J28" s="22" t="n">
        <v>46346</v>
      </c>
      <c r="K28" s="21" t="s">
        <v>229</v>
      </c>
      <c r="L28" s="21"/>
      <c r="M28" s="20" t="s">
        <v>217</v>
      </c>
      <c r="N28" s="20" t="s">
        <v>223</v>
      </c>
      <c r="O28" s="21" t="s">
        <v>235</v>
      </c>
    </row>
    <row r="29" customFormat="false" ht="72" hidden="false" customHeight="true" outlineLevel="0" collapsed="false">
      <c r="A29" s="20" t="s">
        <v>236</v>
      </c>
      <c r="B29" s="21" t="s">
        <v>36</v>
      </c>
      <c r="C29" s="21" t="s">
        <v>237</v>
      </c>
      <c r="D29" s="21" t="s">
        <v>238</v>
      </c>
      <c r="E29" s="21" t="s">
        <v>239</v>
      </c>
      <c r="F29" s="21" t="s">
        <v>240</v>
      </c>
      <c r="G29" s="20" t="s">
        <v>27</v>
      </c>
      <c r="H29" s="20" t="s">
        <v>67</v>
      </c>
      <c r="I29" s="22" t="n">
        <v>46335</v>
      </c>
      <c r="J29" s="22" t="n">
        <v>46353</v>
      </c>
      <c r="K29" s="21" t="s">
        <v>229</v>
      </c>
      <c r="L29" s="21" t="s">
        <v>241</v>
      </c>
      <c r="M29" s="20" t="s">
        <v>224</v>
      </c>
      <c r="N29" s="20" t="s">
        <v>223</v>
      </c>
      <c r="O29" s="21"/>
    </row>
    <row r="30" customFormat="false" ht="72" hidden="false" customHeight="true" outlineLevel="0" collapsed="false">
      <c r="A30" s="20" t="s">
        <v>242</v>
      </c>
      <c r="B30" s="21" t="s">
        <v>36</v>
      </c>
      <c r="C30" s="21" t="s">
        <v>243</v>
      </c>
      <c r="D30" s="21" t="s">
        <v>244</v>
      </c>
      <c r="E30" s="21" t="s">
        <v>245</v>
      </c>
      <c r="F30" s="21" t="s">
        <v>246</v>
      </c>
      <c r="G30" s="20" t="s">
        <v>27</v>
      </c>
      <c r="H30" s="20" t="s">
        <v>67</v>
      </c>
      <c r="I30" s="22" t="n">
        <v>46356</v>
      </c>
      <c r="J30" s="22" t="n">
        <v>46374</v>
      </c>
      <c r="K30" s="21" t="s">
        <v>229</v>
      </c>
      <c r="L30" s="21" t="s">
        <v>247</v>
      </c>
      <c r="M30" s="20" t="s">
        <v>236</v>
      </c>
      <c r="N30" s="20" t="s">
        <v>223</v>
      </c>
      <c r="O30" s="21" t="s">
        <v>248</v>
      </c>
    </row>
    <row r="31" customFormat="false" ht="58.5" hidden="false" customHeight="true" outlineLevel="0" collapsed="false">
      <c r="A31" s="20" t="s">
        <v>249</v>
      </c>
      <c r="B31" s="21" t="s">
        <v>36</v>
      </c>
      <c r="C31" s="21" t="s">
        <v>250</v>
      </c>
      <c r="D31" s="21" t="s">
        <v>251</v>
      </c>
      <c r="E31" s="21" t="s">
        <v>252</v>
      </c>
      <c r="F31" s="21" t="s">
        <v>253</v>
      </c>
      <c r="G31" s="20" t="s">
        <v>27</v>
      </c>
      <c r="H31" s="20" t="s">
        <v>67</v>
      </c>
      <c r="I31" s="22" t="n">
        <v>46349</v>
      </c>
      <c r="J31" s="22" t="n">
        <v>46444</v>
      </c>
      <c r="K31" s="21" t="s">
        <v>229</v>
      </c>
      <c r="L31" s="21"/>
      <c r="M31" s="20" t="s">
        <v>224</v>
      </c>
      <c r="N31" s="20" t="s">
        <v>223</v>
      </c>
      <c r="O31" s="21"/>
    </row>
    <row r="32" customFormat="false" ht="45" hidden="false" customHeight="true" outlineLevel="0" collapsed="false">
      <c r="A32" s="20" t="s">
        <v>254</v>
      </c>
      <c r="B32" s="21" t="s">
        <v>36</v>
      </c>
      <c r="C32" s="21" t="s">
        <v>255</v>
      </c>
      <c r="D32" s="21" t="s">
        <v>256</v>
      </c>
      <c r="E32" s="21" t="s">
        <v>257</v>
      </c>
      <c r="F32" s="21" t="s">
        <v>120</v>
      </c>
      <c r="G32" s="20" t="s">
        <v>27</v>
      </c>
      <c r="H32" s="20" t="s">
        <v>67</v>
      </c>
      <c r="I32" s="22" t="n">
        <v>46357</v>
      </c>
      <c r="J32" s="22" t="n">
        <v>46689</v>
      </c>
      <c r="K32" s="21" t="s">
        <v>229</v>
      </c>
      <c r="L32" s="21"/>
      <c r="M32" s="20" t="s">
        <v>242</v>
      </c>
      <c r="N32" s="20" t="s">
        <v>223</v>
      </c>
      <c r="O32" s="21" t="s">
        <v>165</v>
      </c>
    </row>
    <row r="33" customFormat="false" ht="45" hidden="false" customHeight="true" outlineLevel="0" collapsed="false">
      <c r="A33" s="20" t="s">
        <v>258</v>
      </c>
      <c r="B33" s="21" t="s">
        <v>36</v>
      </c>
      <c r="C33" s="21" t="s">
        <v>259</v>
      </c>
      <c r="D33" s="21" t="s">
        <v>260</v>
      </c>
      <c r="E33" s="21" t="s">
        <v>261</v>
      </c>
      <c r="F33" s="21" t="s">
        <v>262</v>
      </c>
      <c r="G33" s="20" t="s">
        <v>27</v>
      </c>
      <c r="H33" s="20" t="s">
        <v>67</v>
      </c>
      <c r="I33" s="22" t="n">
        <v>46391</v>
      </c>
      <c r="J33" s="22" t="n">
        <v>46472</v>
      </c>
      <c r="K33" s="21" t="s">
        <v>263</v>
      </c>
      <c r="L33" s="21" t="s">
        <v>264</v>
      </c>
      <c r="M33" s="20" t="s">
        <v>242</v>
      </c>
      <c r="N33" s="20" t="s">
        <v>223</v>
      </c>
      <c r="O33" s="21"/>
    </row>
    <row r="34" customFormat="false" ht="31.5" hidden="false" customHeight="true" outlineLevel="0" collapsed="false">
      <c r="A34" s="20" t="s">
        <v>265</v>
      </c>
      <c r="B34" s="21" t="s">
        <v>37</v>
      </c>
      <c r="C34" s="21" t="s">
        <v>266</v>
      </c>
      <c r="D34" s="21" t="s">
        <v>267</v>
      </c>
      <c r="E34" s="21" t="s">
        <v>268</v>
      </c>
      <c r="F34" s="21" t="s">
        <v>269</v>
      </c>
      <c r="G34" s="20" t="s">
        <v>27</v>
      </c>
      <c r="H34" s="20" t="s">
        <v>67</v>
      </c>
      <c r="I34" s="22" t="n">
        <v>46321</v>
      </c>
      <c r="J34" s="22" t="n">
        <v>46332</v>
      </c>
      <c r="K34" s="21" t="s">
        <v>270</v>
      </c>
      <c r="L34" s="21" t="s">
        <v>271</v>
      </c>
      <c r="M34" s="20"/>
      <c r="N34" s="20" t="s">
        <v>223</v>
      </c>
      <c r="O34" s="21"/>
    </row>
    <row r="35" customFormat="false" ht="45" hidden="false" customHeight="true" outlineLevel="0" collapsed="false">
      <c r="A35" s="20" t="s">
        <v>272</v>
      </c>
      <c r="B35" s="21" t="s">
        <v>37</v>
      </c>
      <c r="C35" s="21" t="s">
        <v>273</v>
      </c>
      <c r="D35" s="21" t="s">
        <v>274</v>
      </c>
      <c r="E35" s="21" t="s">
        <v>275</v>
      </c>
      <c r="F35" s="21" t="s">
        <v>276</v>
      </c>
      <c r="G35" s="20" t="s">
        <v>27</v>
      </c>
      <c r="H35" s="20" t="s">
        <v>67</v>
      </c>
      <c r="I35" s="22" t="n">
        <v>46328</v>
      </c>
      <c r="J35" s="22" t="n">
        <v>46346</v>
      </c>
      <c r="K35" s="21" t="s">
        <v>68</v>
      </c>
      <c r="L35" s="21" t="s">
        <v>277</v>
      </c>
      <c r="M35" s="20" t="s">
        <v>265</v>
      </c>
      <c r="N35" s="20" t="s">
        <v>223</v>
      </c>
      <c r="O35" s="21" t="s">
        <v>278</v>
      </c>
    </row>
    <row r="36" customFormat="false" ht="45" hidden="false" customHeight="true" outlineLevel="0" collapsed="false">
      <c r="A36" s="20" t="s">
        <v>279</v>
      </c>
      <c r="B36" s="21" t="s">
        <v>37</v>
      </c>
      <c r="C36" s="21" t="s">
        <v>280</v>
      </c>
      <c r="D36" s="21" t="s">
        <v>281</v>
      </c>
      <c r="E36" s="21" t="s">
        <v>282</v>
      </c>
      <c r="F36" s="21" t="s">
        <v>283</v>
      </c>
      <c r="G36" s="20" t="s">
        <v>27</v>
      </c>
      <c r="H36" s="20" t="s">
        <v>67</v>
      </c>
      <c r="I36" s="22" t="n">
        <v>46349</v>
      </c>
      <c r="J36" s="22" t="n">
        <v>46374</v>
      </c>
      <c r="K36" s="21" t="s">
        <v>270</v>
      </c>
      <c r="L36" s="21" t="s">
        <v>284</v>
      </c>
      <c r="M36" s="20" t="s">
        <v>285</v>
      </c>
      <c r="N36" s="20" t="s">
        <v>223</v>
      </c>
      <c r="O36" s="21"/>
    </row>
    <row r="37" customFormat="false" ht="45" hidden="false" customHeight="true" outlineLevel="0" collapsed="false">
      <c r="A37" s="20" t="s">
        <v>286</v>
      </c>
      <c r="B37" s="21" t="s">
        <v>37</v>
      </c>
      <c r="C37" s="21" t="s">
        <v>287</v>
      </c>
      <c r="D37" s="21" t="s">
        <v>288</v>
      </c>
      <c r="E37" s="21" t="s">
        <v>289</v>
      </c>
      <c r="F37" s="21" t="s">
        <v>290</v>
      </c>
      <c r="G37" s="20" t="s">
        <v>27</v>
      </c>
      <c r="H37" s="20" t="s">
        <v>67</v>
      </c>
      <c r="I37" s="22" t="n">
        <v>46391</v>
      </c>
      <c r="J37" s="22" t="n">
        <v>46507</v>
      </c>
      <c r="K37" s="21" t="s">
        <v>68</v>
      </c>
      <c r="L37" s="21" t="s">
        <v>291</v>
      </c>
      <c r="M37" s="20" t="s">
        <v>292</v>
      </c>
      <c r="N37" s="20" t="s">
        <v>223</v>
      </c>
      <c r="O37" s="21"/>
    </row>
    <row r="38" customFormat="false" ht="45" hidden="false" customHeight="true" outlineLevel="0" collapsed="false">
      <c r="A38" s="20" t="s">
        <v>293</v>
      </c>
      <c r="B38" s="21" t="s">
        <v>37</v>
      </c>
      <c r="C38" s="21" t="s">
        <v>294</v>
      </c>
      <c r="D38" s="21" t="s">
        <v>295</v>
      </c>
      <c r="E38" s="21" t="s">
        <v>296</v>
      </c>
      <c r="F38" s="21" t="s">
        <v>120</v>
      </c>
      <c r="G38" s="20" t="s">
        <v>27</v>
      </c>
      <c r="H38" s="20" t="s">
        <v>67</v>
      </c>
      <c r="I38" s="22" t="n">
        <v>46419</v>
      </c>
      <c r="J38" s="22" t="n">
        <v>46507</v>
      </c>
      <c r="K38" s="21" t="s">
        <v>68</v>
      </c>
      <c r="L38" s="21" t="s">
        <v>297</v>
      </c>
      <c r="M38" s="20" t="s">
        <v>212</v>
      </c>
      <c r="N38" s="20" t="s">
        <v>298</v>
      </c>
      <c r="O38" s="21"/>
    </row>
    <row r="39" customFormat="false" ht="45" hidden="false" customHeight="true" outlineLevel="0" collapsed="false">
      <c r="A39" s="20" t="s">
        <v>299</v>
      </c>
      <c r="B39" s="21" t="s">
        <v>37</v>
      </c>
      <c r="C39" s="21" t="s">
        <v>300</v>
      </c>
      <c r="D39" s="21" t="s">
        <v>301</v>
      </c>
      <c r="E39" s="21" t="s">
        <v>302</v>
      </c>
      <c r="F39" s="21" t="s">
        <v>303</v>
      </c>
      <c r="G39" s="20" t="s">
        <v>27</v>
      </c>
      <c r="H39" s="20" t="s">
        <v>67</v>
      </c>
      <c r="I39" s="22" t="n">
        <v>46419</v>
      </c>
      <c r="J39" s="22" t="n">
        <v>46444</v>
      </c>
      <c r="K39" s="21" t="s">
        <v>229</v>
      </c>
      <c r="L39" s="21" t="s">
        <v>304</v>
      </c>
      <c r="M39" s="20" t="s">
        <v>242</v>
      </c>
      <c r="N39" s="20" t="s">
        <v>223</v>
      </c>
      <c r="O39" s="21"/>
    </row>
    <row r="40" customFormat="false" ht="45" hidden="false" customHeight="true" outlineLevel="0" collapsed="false">
      <c r="A40" s="20" t="s">
        <v>305</v>
      </c>
      <c r="B40" s="21" t="s">
        <v>37</v>
      </c>
      <c r="C40" s="21" t="s">
        <v>306</v>
      </c>
      <c r="D40" s="21" t="s">
        <v>307</v>
      </c>
      <c r="E40" s="21" t="s">
        <v>308</v>
      </c>
      <c r="F40" s="21" t="s">
        <v>120</v>
      </c>
      <c r="G40" s="20" t="s">
        <v>27</v>
      </c>
      <c r="H40" s="20" t="s">
        <v>67</v>
      </c>
      <c r="I40" s="22" t="n">
        <v>46447</v>
      </c>
      <c r="J40" s="22" t="n">
        <v>46472</v>
      </c>
      <c r="K40" s="21" t="s">
        <v>229</v>
      </c>
      <c r="L40" s="21" t="s">
        <v>309</v>
      </c>
      <c r="M40" s="20" t="s">
        <v>310</v>
      </c>
      <c r="N40" s="20" t="s">
        <v>223</v>
      </c>
      <c r="O40" s="21"/>
    </row>
    <row r="41" customFormat="false" ht="72" hidden="false" customHeight="true" outlineLevel="0" collapsed="false">
      <c r="A41" s="20" t="s">
        <v>311</v>
      </c>
      <c r="B41" s="21" t="s">
        <v>37</v>
      </c>
      <c r="C41" s="21" t="s">
        <v>312</v>
      </c>
      <c r="D41" s="21" t="s">
        <v>313</v>
      </c>
      <c r="E41" s="21" t="s">
        <v>314</v>
      </c>
      <c r="F41" s="21" t="s">
        <v>120</v>
      </c>
      <c r="G41" s="20" t="s">
        <v>27</v>
      </c>
      <c r="H41" s="20" t="s">
        <v>67</v>
      </c>
      <c r="I41" s="22" t="n">
        <v>46475</v>
      </c>
      <c r="J41" s="22" t="n">
        <v>46507</v>
      </c>
      <c r="K41" s="21" t="s">
        <v>68</v>
      </c>
      <c r="L41" s="21"/>
      <c r="M41" s="20" t="s">
        <v>315</v>
      </c>
      <c r="N41" s="20" t="s">
        <v>298</v>
      </c>
      <c r="O41" s="21" t="s">
        <v>316</v>
      </c>
    </row>
    <row r="42" customFormat="false" ht="45" hidden="false" customHeight="true" outlineLevel="0" collapsed="false">
      <c r="A42" s="20" t="s">
        <v>317</v>
      </c>
      <c r="B42" s="21" t="s">
        <v>38</v>
      </c>
      <c r="C42" s="21" t="s">
        <v>318</v>
      </c>
      <c r="D42" s="21" t="s">
        <v>319</v>
      </c>
      <c r="E42" s="21" t="s">
        <v>320</v>
      </c>
      <c r="F42" s="21" t="s">
        <v>321</v>
      </c>
      <c r="G42" s="20" t="s">
        <v>27</v>
      </c>
      <c r="H42" s="20" t="s">
        <v>67</v>
      </c>
      <c r="I42" s="22" t="n">
        <v>46391</v>
      </c>
      <c r="J42" s="22" t="n">
        <v>46416</v>
      </c>
      <c r="K42" s="21" t="s">
        <v>77</v>
      </c>
      <c r="L42" s="21" t="s">
        <v>322</v>
      </c>
      <c r="M42" s="20" t="s">
        <v>279</v>
      </c>
      <c r="N42" s="20" t="s">
        <v>323</v>
      </c>
      <c r="O42" s="21"/>
    </row>
    <row r="43" customFormat="false" ht="45" hidden="false" customHeight="true" outlineLevel="0" collapsed="false">
      <c r="A43" s="20" t="s">
        <v>324</v>
      </c>
      <c r="B43" s="21" t="s">
        <v>38</v>
      </c>
      <c r="C43" s="21" t="s">
        <v>325</v>
      </c>
      <c r="D43" s="21" t="s">
        <v>326</v>
      </c>
      <c r="E43" s="21" t="s">
        <v>327</v>
      </c>
      <c r="F43" s="21" t="s">
        <v>120</v>
      </c>
      <c r="G43" s="20" t="s">
        <v>27</v>
      </c>
      <c r="H43" s="20" t="s">
        <v>67</v>
      </c>
      <c r="I43" s="22" t="n">
        <v>46419</v>
      </c>
      <c r="J43" s="22" t="n">
        <v>46507</v>
      </c>
      <c r="K43" s="21" t="s">
        <v>77</v>
      </c>
      <c r="L43" s="21" t="s">
        <v>171</v>
      </c>
      <c r="M43" s="20" t="s">
        <v>328</v>
      </c>
      <c r="N43" s="20" t="s">
        <v>323</v>
      </c>
      <c r="O43" s="21"/>
    </row>
    <row r="44" customFormat="false" ht="31.5" hidden="false" customHeight="true" outlineLevel="0" collapsed="false">
      <c r="A44" s="20" t="s">
        <v>329</v>
      </c>
      <c r="B44" s="21" t="s">
        <v>38</v>
      </c>
      <c r="C44" s="21" t="s">
        <v>330</v>
      </c>
      <c r="D44" s="21" t="s">
        <v>331</v>
      </c>
      <c r="E44" s="21" t="s">
        <v>332</v>
      </c>
      <c r="F44" s="21" t="s">
        <v>120</v>
      </c>
      <c r="G44" s="20" t="s">
        <v>27</v>
      </c>
      <c r="H44" s="20" t="s">
        <v>67</v>
      </c>
      <c r="I44" s="22" t="n">
        <v>46447</v>
      </c>
      <c r="J44" s="22" t="n">
        <v>46472</v>
      </c>
      <c r="K44" s="21" t="s">
        <v>127</v>
      </c>
      <c r="L44" s="21"/>
      <c r="M44" s="20" t="s">
        <v>144</v>
      </c>
      <c r="N44" s="20" t="s">
        <v>323</v>
      </c>
      <c r="O44" s="21"/>
    </row>
    <row r="45" customFormat="false" ht="31.5" hidden="false" customHeight="true" outlineLevel="0" collapsed="false">
      <c r="A45" s="20" t="s">
        <v>333</v>
      </c>
      <c r="B45" s="21" t="s">
        <v>38</v>
      </c>
      <c r="C45" s="21" t="s">
        <v>334</v>
      </c>
      <c r="D45" s="21" t="s">
        <v>335</v>
      </c>
      <c r="E45" s="21" t="s">
        <v>336</v>
      </c>
      <c r="F45" s="21" t="s">
        <v>120</v>
      </c>
      <c r="G45" s="20" t="s">
        <v>27</v>
      </c>
      <c r="H45" s="20" t="s">
        <v>67</v>
      </c>
      <c r="I45" s="22" t="n">
        <v>46419</v>
      </c>
      <c r="J45" s="22" t="n">
        <v>46598</v>
      </c>
      <c r="K45" s="21" t="s">
        <v>68</v>
      </c>
      <c r="L45" s="21" t="s">
        <v>337</v>
      </c>
      <c r="M45" s="20" t="s">
        <v>242</v>
      </c>
      <c r="N45" s="20" t="s">
        <v>323</v>
      </c>
      <c r="O45" s="21"/>
    </row>
    <row r="46" customFormat="false" ht="31.5" hidden="false" customHeight="true" outlineLevel="0" collapsed="false">
      <c r="A46" s="20" t="s">
        <v>338</v>
      </c>
      <c r="B46" s="21" t="s">
        <v>38</v>
      </c>
      <c r="C46" s="21" t="s">
        <v>339</v>
      </c>
      <c r="D46" s="21" t="s">
        <v>340</v>
      </c>
      <c r="E46" s="21" t="s">
        <v>341</v>
      </c>
      <c r="F46" s="21" t="s">
        <v>120</v>
      </c>
      <c r="G46" s="20" t="s">
        <v>27</v>
      </c>
      <c r="H46" s="20" t="s">
        <v>67</v>
      </c>
      <c r="I46" s="22" t="n">
        <v>46510</v>
      </c>
      <c r="J46" s="22" t="n">
        <v>46598</v>
      </c>
      <c r="K46" s="21" t="s">
        <v>77</v>
      </c>
      <c r="L46" s="21" t="s">
        <v>342</v>
      </c>
      <c r="M46" s="20" t="s">
        <v>317</v>
      </c>
      <c r="N46" s="20" t="s">
        <v>323</v>
      </c>
      <c r="O46" s="21"/>
    </row>
    <row r="47" customFormat="false" ht="45" hidden="false" customHeight="true" outlineLevel="0" collapsed="false">
      <c r="A47" s="20" t="s">
        <v>343</v>
      </c>
      <c r="B47" s="21" t="s">
        <v>39</v>
      </c>
      <c r="C47" s="21" t="s">
        <v>344</v>
      </c>
      <c r="D47" s="21" t="s">
        <v>345</v>
      </c>
      <c r="E47" s="21" t="s">
        <v>346</v>
      </c>
      <c r="F47" s="21" t="s">
        <v>347</v>
      </c>
      <c r="G47" s="20" t="s">
        <v>27</v>
      </c>
      <c r="H47" s="20" t="s">
        <v>29</v>
      </c>
      <c r="I47" s="22" t="n">
        <v>46328</v>
      </c>
      <c r="J47" s="22" t="n">
        <v>46353</v>
      </c>
      <c r="K47" s="21" t="s">
        <v>210</v>
      </c>
      <c r="L47" s="21" t="s">
        <v>348</v>
      </c>
      <c r="M47" s="20"/>
      <c r="N47" s="20" t="s">
        <v>223</v>
      </c>
      <c r="O47" s="21"/>
    </row>
    <row r="48" customFormat="false" ht="72" hidden="false" customHeight="true" outlineLevel="0" collapsed="false">
      <c r="A48" s="20" t="s">
        <v>155</v>
      </c>
      <c r="B48" s="21" t="s">
        <v>39</v>
      </c>
      <c r="C48" s="21" t="s">
        <v>349</v>
      </c>
      <c r="D48" s="21" t="s">
        <v>350</v>
      </c>
      <c r="E48" s="21" t="s">
        <v>351</v>
      </c>
      <c r="F48" s="21" t="s">
        <v>352</v>
      </c>
      <c r="G48" s="20" t="s">
        <v>27</v>
      </c>
      <c r="H48" s="20" t="s">
        <v>67</v>
      </c>
      <c r="I48" s="22" t="n">
        <v>46335</v>
      </c>
      <c r="J48" s="22" t="n">
        <v>46353</v>
      </c>
      <c r="K48" s="21" t="s">
        <v>153</v>
      </c>
      <c r="L48" s="21" t="s">
        <v>353</v>
      </c>
      <c r="M48" s="20"/>
      <c r="N48" s="20" t="s">
        <v>172</v>
      </c>
      <c r="O48" s="21"/>
    </row>
    <row r="49" customFormat="false" ht="45" hidden="false" customHeight="true" outlineLevel="0" collapsed="false">
      <c r="A49" s="20" t="s">
        <v>354</v>
      </c>
      <c r="B49" s="21" t="s">
        <v>39</v>
      </c>
      <c r="C49" s="21" t="s">
        <v>355</v>
      </c>
      <c r="D49" s="21" t="s">
        <v>356</v>
      </c>
      <c r="E49" s="21" t="s">
        <v>357</v>
      </c>
      <c r="F49" s="21" t="s">
        <v>358</v>
      </c>
      <c r="G49" s="20" t="s">
        <v>27</v>
      </c>
      <c r="H49" s="20" t="s">
        <v>67</v>
      </c>
      <c r="I49" s="22" t="n">
        <v>46360</v>
      </c>
      <c r="J49" s="22" t="n">
        <v>46689</v>
      </c>
      <c r="K49" s="21" t="s">
        <v>263</v>
      </c>
      <c r="L49" s="21" t="s">
        <v>359</v>
      </c>
      <c r="M49" s="20"/>
      <c r="N49" s="20" t="s">
        <v>223</v>
      </c>
      <c r="O49" s="21" t="s">
        <v>165</v>
      </c>
    </row>
    <row r="50" customFormat="false" ht="45" hidden="false" customHeight="true" outlineLevel="0" collapsed="false">
      <c r="A50" s="20" t="s">
        <v>360</v>
      </c>
      <c r="B50" s="21" t="s">
        <v>39</v>
      </c>
      <c r="C50" s="21" t="s">
        <v>361</v>
      </c>
      <c r="D50" s="21" t="s">
        <v>362</v>
      </c>
      <c r="E50" s="21" t="s">
        <v>363</v>
      </c>
      <c r="F50" s="21" t="s">
        <v>364</v>
      </c>
      <c r="G50" s="20" t="s">
        <v>27</v>
      </c>
      <c r="H50" s="20" t="s">
        <v>67</v>
      </c>
      <c r="I50" s="22" t="n">
        <v>46391</v>
      </c>
      <c r="J50" s="22" t="n">
        <v>46689</v>
      </c>
      <c r="K50" s="21" t="s">
        <v>263</v>
      </c>
      <c r="L50" s="21" t="s">
        <v>365</v>
      </c>
      <c r="M50" s="20" t="s">
        <v>242</v>
      </c>
      <c r="N50" s="20" t="s">
        <v>223</v>
      </c>
      <c r="O50" s="21" t="s">
        <v>165</v>
      </c>
    </row>
    <row r="51" customFormat="false" ht="31.5" hidden="false" customHeight="true" outlineLevel="0" collapsed="false">
      <c r="A51" s="20" t="s">
        <v>366</v>
      </c>
      <c r="B51" s="21" t="s">
        <v>39</v>
      </c>
      <c r="C51" s="21" t="s">
        <v>367</v>
      </c>
      <c r="D51" s="21" t="s">
        <v>368</v>
      </c>
      <c r="E51" s="21" t="s">
        <v>369</v>
      </c>
      <c r="F51" s="21" t="s">
        <v>120</v>
      </c>
      <c r="G51" s="20" t="s">
        <v>27</v>
      </c>
      <c r="H51" s="20" t="s">
        <v>67</v>
      </c>
      <c r="I51" s="22" t="n">
        <v>46510</v>
      </c>
      <c r="J51" s="22" t="n">
        <v>46535</v>
      </c>
      <c r="K51" s="21" t="s">
        <v>263</v>
      </c>
      <c r="L51" s="21" t="s">
        <v>370</v>
      </c>
      <c r="M51" s="20" t="s">
        <v>258</v>
      </c>
      <c r="N51" s="20" t="s">
        <v>223</v>
      </c>
      <c r="O51" s="21"/>
    </row>
    <row r="52" customFormat="false" ht="31.5" hidden="false" customHeight="true" outlineLevel="0" collapsed="false">
      <c r="A52" s="20" t="s">
        <v>371</v>
      </c>
      <c r="B52" s="21" t="s">
        <v>40</v>
      </c>
      <c r="C52" s="21" t="s">
        <v>372</v>
      </c>
      <c r="D52" s="21" t="s">
        <v>373</v>
      </c>
      <c r="E52" s="21" t="s">
        <v>374</v>
      </c>
      <c r="F52" s="21" t="s">
        <v>120</v>
      </c>
      <c r="G52" s="20" t="s">
        <v>27</v>
      </c>
      <c r="H52" s="20" t="s">
        <v>67</v>
      </c>
      <c r="I52" s="22" t="n">
        <v>46510</v>
      </c>
      <c r="J52" s="22" t="n">
        <v>46689</v>
      </c>
      <c r="K52" s="21" t="s">
        <v>68</v>
      </c>
      <c r="L52" s="21" t="s">
        <v>171</v>
      </c>
      <c r="M52" s="20" t="s">
        <v>286</v>
      </c>
      <c r="N52" s="20" t="s">
        <v>223</v>
      </c>
      <c r="O52" s="21" t="s">
        <v>375</v>
      </c>
    </row>
    <row r="53" customFormat="false" ht="45" hidden="false" customHeight="true" outlineLevel="0" collapsed="false">
      <c r="A53" s="20" t="s">
        <v>376</v>
      </c>
      <c r="B53" s="21" t="s">
        <v>40</v>
      </c>
      <c r="C53" s="21" t="s">
        <v>377</v>
      </c>
      <c r="D53" s="21" t="s">
        <v>378</v>
      </c>
      <c r="E53" s="21" t="s">
        <v>379</v>
      </c>
      <c r="F53" s="21" t="s">
        <v>120</v>
      </c>
      <c r="G53" s="20" t="s">
        <v>27</v>
      </c>
      <c r="H53" s="20" t="s">
        <v>67</v>
      </c>
      <c r="I53" s="22" t="n">
        <v>46545</v>
      </c>
      <c r="J53" s="22" t="n">
        <v>46626</v>
      </c>
      <c r="K53" s="21" t="s">
        <v>263</v>
      </c>
      <c r="L53" s="21" t="s">
        <v>380</v>
      </c>
      <c r="M53" s="20" t="s">
        <v>381</v>
      </c>
      <c r="N53" s="20" t="s">
        <v>223</v>
      </c>
      <c r="O53" s="21"/>
    </row>
    <row r="54" customFormat="false" ht="31.5" hidden="false" customHeight="true" outlineLevel="0" collapsed="false">
      <c r="A54" s="20" t="s">
        <v>382</v>
      </c>
      <c r="B54" s="21" t="s">
        <v>40</v>
      </c>
      <c r="C54" s="21" t="s">
        <v>383</v>
      </c>
      <c r="D54" s="21" t="s">
        <v>384</v>
      </c>
      <c r="E54" s="21" t="s">
        <v>385</v>
      </c>
      <c r="F54" s="21" t="s">
        <v>120</v>
      </c>
      <c r="G54" s="20" t="s">
        <v>27</v>
      </c>
      <c r="H54" s="20" t="s">
        <v>67</v>
      </c>
      <c r="I54" s="22" t="n">
        <v>46678</v>
      </c>
      <c r="J54" s="22" t="n">
        <v>46689</v>
      </c>
      <c r="K54" s="21" t="s">
        <v>127</v>
      </c>
      <c r="L54" s="21" t="s">
        <v>386</v>
      </c>
      <c r="M54" s="20" t="s">
        <v>160</v>
      </c>
      <c r="N54" s="20" t="s">
        <v>70</v>
      </c>
      <c r="O54" s="21"/>
    </row>
    <row r="55" customFormat="false" ht="31.5" hidden="false" customHeight="true" outlineLevel="0" collapsed="false">
      <c r="A55" s="20" t="s">
        <v>387</v>
      </c>
      <c r="B55" s="21" t="s">
        <v>40</v>
      </c>
      <c r="C55" s="21" t="s">
        <v>388</v>
      </c>
      <c r="D55" s="21" t="s">
        <v>389</v>
      </c>
      <c r="E55" s="21" t="s">
        <v>390</v>
      </c>
      <c r="F55" s="21" t="s">
        <v>120</v>
      </c>
      <c r="G55" s="20" t="s">
        <v>27</v>
      </c>
      <c r="H55" s="20" t="s">
        <v>67</v>
      </c>
      <c r="I55" s="22" t="n">
        <v>46678</v>
      </c>
      <c r="J55" s="22" t="n">
        <v>46692</v>
      </c>
      <c r="K55" s="21" t="s">
        <v>68</v>
      </c>
      <c r="L55" s="21"/>
      <c r="M55" s="20" t="s">
        <v>382</v>
      </c>
      <c r="N55" s="20" t="s">
        <v>70</v>
      </c>
      <c r="O55" s="21"/>
    </row>
    <row r="56" customFormat="false" ht="15" hidden="false" customHeight="false" outlineLevel="0" collapsed="false">
      <c r="A56" s="2"/>
      <c r="B56" s="2"/>
      <c r="C56" s="2"/>
      <c r="D56" s="2"/>
      <c r="E56" s="2"/>
      <c r="F56" s="2"/>
      <c r="G56" s="2"/>
      <c r="H56" s="2"/>
      <c r="I56" s="2"/>
      <c r="J56" s="2"/>
      <c r="K56" s="2"/>
      <c r="L56" s="2"/>
      <c r="M56" s="2"/>
      <c r="N56" s="2"/>
      <c r="O56" s="2"/>
    </row>
    <row r="57" customFormat="false" ht="15" hidden="false" customHeight="false" outlineLevel="0" collapsed="false">
      <c r="A57" s="15" t="s">
        <v>391</v>
      </c>
      <c r="B57" s="2"/>
      <c r="C57" s="3" t="s">
        <v>392</v>
      </c>
      <c r="D57" s="2"/>
      <c r="E57" s="2"/>
      <c r="F57" s="2"/>
      <c r="G57" s="2"/>
      <c r="H57" s="2"/>
      <c r="I57" s="2"/>
      <c r="J57" s="2"/>
      <c r="K57" s="2"/>
      <c r="L57" s="2"/>
      <c r="M57" s="2"/>
      <c r="N57" s="2"/>
      <c r="O57" s="2"/>
    </row>
  </sheetData>
  <autoFilter ref="A1:O55"/>
  <conditionalFormatting sqref="H2:H400">
    <cfRule type="cellIs" priority="2" operator="equal" aboveAverage="0" equalAverage="0" bottom="0" percent="0" rank="0" text="" dxfId="8">
      <formula>"Green"</formula>
    </cfRule>
    <cfRule type="cellIs" priority="3" operator="equal" aboveAverage="0" equalAverage="0" bottom="0" percent="0" rank="0" text="" dxfId="9">
      <formula>"Amber"</formula>
    </cfRule>
    <cfRule type="cellIs" priority="4" operator="equal" aboveAverage="0" equalAverage="0" bottom="0" percent="0" rank="0" text="" dxfId="10">
      <formula>"Red"</formula>
    </cfRule>
  </conditionalFormatting>
  <conditionalFormatting sqref="G2:G400">
    <cfRule type="cellIs" priority="5" operator="equal" aboveAverage="0" equalAverage="0" bottom="0" percent="0" rank="0" text="" dxfId="11">
      <formula>"Done"</formula>
    </cfRule>
    <cfRule type="cellIs" priority="6" operator="equal" aboveAverage="0" equalAverage="0" bottom="0" percent="0" rank="0" text="" dxfId="12">
      <formula>"Blocked"</formula>
    </cfRule>
  </conditionalFormatting>
  <conditionalFormatting sqref="J2:J400">
    <cfRule type="expression" priority="7" aboveAverage="0" equalAverage="0" bottom="0" percent="0" rank="0" text="" dxfId="13">
      <formula>AND($J2&lt;&gt;"",$J2&lt;TODAY(),$G2&lt;&gt;"Done",$G2&lt;&gt;"Ongoing")</formula>
    </cfRule>
  </conditionalFormatting>
  <dataValidations count="2">
    <dataValidation allowBlank="true" errorStyle="stop" operator="between" showDropDown="false" showErrorMessage="false" showInputMessage="false" sqref="G2:G400" type="list">
      <formula1>"Not started,In progress,Ongoing,Done,Blocked"</formula1>
      <formula2>0</formula2>
    </dataValidation>
    <dataValidation allowBlank="true" errorStyle="stop" operator="between" showDropDown="false" showErrorMessage="false" showInputMessage="false" sqref="H2:H400" type="list">
      <formula1>"Green,Amber,Red"</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4" min="3" style="0" width="12"/>
    <col collapsed="false" customWidth="true" hidden="false" outlineLevel="0" max="58" min="5" style="0" width="3.2"/>
  </cols>
  <sheetData>
    <row r="1" customFormat="false" ht="24" hidden="false" customHeight="true" outlineLevel="0" collapsed="false">
      <c r="A1" s="1" t="s">
        <v>393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row>
    <row r="2" customFormat="false" ht="15" hidden="false" customHeight="false" outlineLevel="0" collapsed="false">
      <c r="A2" s="3" t="s">
        <v>394</v>
      </c>
      <c r="B2" s="2"/>
      <c r="C2" s="2"/>
      <c r="D2" s="2"/>
      <c r="E2" s="23" t="s">
        <v>395</v>
      </c>
      <c r="F2" s="23" t="s">
        <v>396</v>
      </c>
      <c r="G2" s="2"/>
      <c r="H2" s="2"/>
      <c r="I2" s="2"/>
      <c r="J2" s="23" t="s">
        <v>397</v>
      </c>
      <c r="K2" s="2"/>
      <c r="L2" s="2"/>
      <c r="M2" s="2"/>
      <c r="N2" s="2"/>
      <c r="O2" s="23" t="s">
        <v>398</v>
      </c>
      <c r="P2" s="2"/>
      <c r="Q2" s="2"/>
      <c r="R2" s="2"/>
      <c r="S2" s="23" t="s">
        <v>399</v>
      </c>
      <c r="T2" s="2"/>
      <c r="U2" s="2"/>
      <c r="V2" s="2"/>
      <c r="W2" s="23" t="s">
        <v>400</v>
      </c>
      <c r="X2" s="2"/>
      <c r="Y2" s="2"/>
      <c r="Z2" s="2"/>
      <c r="AA2" s="23" t="s">
        <v>401</v>
      </c>
      <c r="AB2" s="2"/>
      <c r="AC2" s="2"/>
      <c r="AD2" s="2"/>
      <c r="AE2" s="2"/>
      <c r="AF2" s="23" t="s">
        <v>402</v>
      </c>
      <c r="AG2" s="2"/>
      <c r="AH2" s="2"/>
      <c r="AI2" s="2"/>
      <c r="AJ2" s="23" t="s">
        <v>403</v>
      </c>
      <c r="AK2" s="2"/>
      <c r="AL2" s="2"/>
      <c r="AM2" s="2"/>
      <c r="AN2" s="23" t="s">
        <v>404</v>
      </c>
      <c r="AO2" s="2"/>
      <c r="AP2" s="2"/>
      <c r="AQ2" s="2"/>
      <c r="AR2" s="2"/>
      <c r="AS2" s="23" t="s">
        <v>405</v>
      </c>
      <c r="AT2" s="2"/>
      <c r="AU2" s="2"/>
      <c r="AV2" s="2"/>
      <c r="AW2" s="23" t="s">
        <v>406</v>
      </c>
      <c r="AX2" s="2"/>
      <c r="AY2" s="2"/>
      <c r="AZ2" s="2"/>
      <c r="BA2" s="2"/>
      <c r="BB2" s="23" t="s">
        <v>407</v>
      </c>
      <c r="BC2" s="2"/>
      <c r="BD2" s="2"/>
      <c r="BE2" s="2"/>
      <c r="BF2" s="23" t="s">
        <v>408</v>
      </c>
    </row>
    <row r="3" customFormat="false" ht="15" hidden="true" customHeight="false" outlineLevel="0" collapsed="false">
      <c r="A3" s="2"/>
      <c r="B3" s="2"/>
      <c r="C3" s="2"/>
      <c r="D3" s="2"/>
      <c r="E3" s="24" t="n">
        <v>46321</v>
      </c>
      <c r="F3" s="24" t="n">
        <f aca="false">E3+7</f>
        <v>46328</v>
      </c>
      <c r="G3" s="24" t="n">
        <f aca="false">F3+7</f>
        <v>46335</v>
      </c>
      <c r="H3" s="24" t="n">
        <f aca="false">G3+7</f>
        <v>46342</v>
      </c>
      <c r="I3" s="24" t="n">
        <f aca="false">H3+7</f>
        <v>46349</v>
      </c>
      <c r="J3" s="24" t="n">
        <f aca="false">I3+7</f>
        <v>46356</v>
      </c>
      <c r="K3" s="24" t="n">
        <f aca="false">J3+7</f>
        <v>46363</v>
      </c>
      <c r="L3" s="24" t="n">
        <f aca="false">K3+7</f>
        <v>46370</v>
      </c>
      <c r="M3" s="24" t="n">
        <f aca="false">L3+7</f>
        <v>46377</v>
      </c>
      <c r="N3" s="24" t="n">
        <f aca="false">M3+7</f>
        <v>46384</v>
      </c>
      <c r="O3" s="24" t="n">
        <f aca="false">N3+7</f>
        <v>46391</v>
      </c>
      <c r="P3" s="24" t="n">
        <f aca="false">O3+7</f>
        <v>46398</v>
      </c>
      <c r="Q3" s="24" t="n">
        <f aca="false">P3+7</f>
        <v>46405</v>
      </c>
      <c r="R3" s="24" t="n">
        <f aca="false">Q3+7</f>
        <v>46412</v>
      </c>
      <c r="S3" s="24" t="n">
        <f aca="false">R3+7</f>
        <v>46419</v>
      </c>
      <c r="T3" s="24" t="n">
        <f aca="false">S3+7</f>
        <v>46426</v>
      </c>
      <c r="U3" s="24" t="n">
        <f aca="false">T3+7</f>
        <v>46433</v>
      </c>
      <c r="V3" s="24" t="n">
        <f aca="false">U3+7</f>
        <v>46440</v>
      </c>
      <c r="W3" s="24" t="n">
        <f aca="false">V3+7</f>
        <v>46447</v>
      </c>
      <c r="X3" s="24" t="n">
        <f aca="false">W3+7</f>
        <v>46454</v>
      </c>
      <c r="Y3" s="24" t="n">
        <f aca="false">X3+7</f>
        <v>46461</v>
      </c>
      <c r="Z3" s="24" t="n">
        <f aca="false">Y3+7</f>
        <v>46468</v>
      </c>
      <c r="AA3" s="24" t="n">
        <f aca="false">Z3+7</f>
        <v>46475</v>
      </c>
      <c r="AB3" s="24" t="n">
        <f aca="false">AA3+7</f>
        <v>46482</v>
      </c>
      <c r="AC3" s="24" t="n">
        <f aca="false">AB3+7</f>
        <v>46489</v>
      </c>
      <c r="AD3" s="24" t="n">
        <f aca="false">AC3+7</f>
        <v>46496</v>
      </c>
      <c r="AE3" s="24" t="n">
        <f aca="false">AD3+7</f>
        <v>46503</v>
      </c>
      <c r="AF3" s="24" t="n">
        <f aca="false">AE3+7</f>
        <v>46510</v>
      </c>
      <c r="AG3" s="24" t="n">
        <f aca="false">AF3+7</f>
        <v>46517</v>
      </c>
      <c r="AH3" s="24" t="n">
        <f aca="false">AG3+7</f>
        <v>46524</v>
      </c>
      <c r="AI3" s="24" t="n">
        <f aca="false">AH3+7</f>
        <v>46531</v>
      </c>
      <c r="AJ3" s="24" t="n">
        <f aca="false">AI3+7</f>
        <v>46538</v>
      </c>
      <c r="AK3" s="24" t="n">
        <f aca="false">AJ3+7</f>
        <v>46545</v>
      </c>
      <c r="AL3" s="24" t="n">
        <f aca="false">AK3+7</f>
        <v>46552</v>
      </c>
      <c r="AM3" s="24" t="n">
        <f aca="false">AL3+7</f>
        <v>46559</v>
      </c>
      <c r="AN3" s="24" t="n">
        <f aca="false">AM3+7</f>
        <v>46566</v>
      </c>
      <c r="AO3" s="24" t="n">
        <f aca="false">AN3+7</f>
        <v>46573</v>
      </c>
      <c r="AP3" s="24" t="n">
        <f aca="false">AO3+7</f>
        <v>46580</v>
      </c>
      <c r="AQ3" s="24" t="n">
        <f aca="false">AP3+7</f>
        <v>46587</v>
      </c>
      <c r="AR3" s="24" t="n">
        <f aca="false">AQ3+7</f>
        <v>46594</v>
      </c>
      <c r="AS3" s="24" t="n">
        <f aca="false">AR3+7</f>
        <v>46601</v>
      </c>
      <c r="AT3" s="24" t="n">
        <f aca="false">AS3+7</f>
        <v>46608</v>
      </c>
      <c r="AU3" s="24" t="n">
        <f aca="false">AT3+7</f>
        <v>46615</v>
      </c>
      <c r="AV3" s="24" t="n">
        <f aca="false">AU3+7</f>
        <v>46622</v>
      </c>
      <c r="AW3" s="24" t="n">
        <f aca="false">AV3+7</f>
        <v>46629</v>
      </c>
      <c r="AX3" s="24" t="n">
        <f aca="false">AW3+7</f>
        <v>46636</v>
      </c>
      <c r="AY3" s="24" t="n">
        <f aca="false">AX3+7</f>
        <v>46643</v>
      </c>
      <c r="AZ3" s="24" t="n">
        <f aca="false">AY3+7</f>
        <v>46650</v>
      </c>
      <c r="BA3" s="24" t="n">
        <f aca="false">AZ3+7</f>
        <v>46657</v>
      </c>
      <c r="BB3" s="24" t="n">
        <f aca="false">BA3+7</f>
        <v>46664</v>
      </c>
      <c r="BC3" s="24" t="n">
        <f aca="false">BB3+7</f>
        <v>46671</v>
      </c>
      <c r="BD3" s="24" t="n">
        <f aca="false">BC3+7</f>
        <v>46678</v>
      </c>
      <c r="BE3" s="24" t="n">
        <f aca="false">BD3+7</f>
        <v>46685</v>
      </c>
      <c r="BF3" s="24" t="n">
        <f aca="false">BE3+7</f>
        <v>46692</v>
      </c>
    </row>
    <row r="4" customFormat="false" ht="15" hidden="false" customHeight="false" outlineLevel="0" collapsed="false">
      <c r="A4" s="25" t="s">
        <v>49</v>
      </c>
      <c r="B4" s="25" t="s">
        <v>50</v>
      </c>
      <c r="C4" s="25" t="s">
        <v>55</v>
      </c>
      <c r="D4" s="25" t="s">
        <v>409</v>
      </c>
      <c r="E4" s="26" t="n">
        <f aca="false">E3</f>
        <v>46321</v>
      </c>
      <c r="F4" s="26" t="n">
        <f aca="false">F3</f>
        <v>46328</v>
      </c>
      <c r="G4" s="26" t="n">
        <f aca="false">G3</f>
        <v>46335</v>
      </c>
      <c r="H4" s="26" t="n">
        <f aca="false">H3</f>
        <v>46342</v>
      </c>
      <c r="I4" s="26" t="n">
        <f aca="false">I3</f>
        <v>46349</v>
      </c>
      <c r="J4" s="26" t="n">
        <f aca="false">J3</f>
        <v>46356</v>
      </c>
      <c r="K4" s="26" t="n">
        <f aca="false">K3</f>
        <v>46363</v>
      </c>
      <c r="L4" s="26" t="n">
        <f aca="false">L3</f>
        <v>46370</v>
      </c>
      <c r="M4" s="26" t="n">
        <f aca="false">M3</f>
        <v>46377</v>
      </c>
      <c r="N4" s="26" t="n">
        <f aca="false">N3</f>
        <v>46384</v>
      </c>
      <c r="O4" s="26" t="n">
        <f aca="false">O3</f>
        <v>46391</v>
      </c>
      <c r="P4" s="26" t="n">
        <f aca="false">P3</f>
        <v>46398</v>
      </c>
      <c r="Q4" s="26" t="n">
        <f aca="false">Q3</f>
        <v>46405</v>
      </c>
      <c r="R4" s="26" t="n">
        <f aca="false">R3</f>
        <v>46412</v>
      </c>
      <c r="S4" s="26" t="n">
        <f aca="false">S3</f>
        <v>46419</v>
      </c>
      <c r="T4" s="26" t="n">
        <f aca="false">T3</f>
        <v>46426</v>
      </c>
      <c r="U4" s="26" t="n">
        <f aca="false">U3</f>
        <v>46433</v>
      </c>
      <c r="V4" s="26" t="n">
        <f aca="false">V3</f>
        <v>46440</v>
      </c>
      <c r="W4" s="26" t="n">
        <f aca="false">W3</f>
        <v>46447</v>
      </c>
      <c r="X4" s="26" t="n">
        <f aca="false">X3</f>
        <v>46454</v>
      </c>
      <c r="Y4" s="26" t="n">
        <f aca="false">Y3</f>
        <v>46461</v>
      </c>
      <c r="Z4" s="26" t="n">
        <f aca="false">Z3</f>
        <v>46468</v>
      </c>
      <c r="AA4" s="26" t="n">
        <f aca="false">AA3</f>
        <v>46475</v>
      </c>
      <c r="AB4" s="26" t="n">
        <f aca="false">AB3</f>
        <v>46482</v>
      </c>
      <c r="AC4" s="26" t="n">
        <f aca="false">AC3</f>
        <v>46489</v>
      </c>
      <c r="AD4" s="26" t="n">
        <f aca="false">AD3</f>
        <v>46496</v>
      </c>
      <c r="AE4" s="26" t="n">
        <f aca="false">AE3</f>
        <v>46503</v>
      </c>
      <c r="AF4" s="26" t="n">
        <f aca="false">AF3</f>
        <v>46510</v>
      </c>
      <c r="AG4" s="26" t="n">
        <f aca="false">AG3</f>
        <v>46517</v>
      </c>
      <c r="AH4" s="26" t="n">
        <f aca="false">AH3</f>
        <v>46524</v>
      </c>
      <c r="AI4" s="26" t="n">
        <f aca="false">AI3</f>
        <v>46531</v>
      </c>
      <c r="AJ4" s="26" t="n">
        <f aca="false">AJ3</f>
        <v>46538</v>
      </c>
      <c r="AK4" s="26" t="n">
        <f aca="false">AK3</f>
        <v>46545</v>
      </c>
      <c r="AL4" s="26" t="n">
        <f aca="false">AL3</f>
        <v>46552</v>
      </c>
      <c r="AM4" s="26" t="n">
        <f aca="false">AM3</f>
        <v>46559</v>
      </c>
      <c r="AN4" s="26" t="n">
        <f aca="false">AN3</f>
        <v>46566</v>
      </c>
      <c r="AO4" s="26" t="n">
        <f aca="false">AO3</f>
        <v>46573</v>
      </c>
      <c r="AP4" s="26" t="n">
        <f aca="false">AP3</f>
        <v>46580</v>
      </c>
      <c r="AQ4" s="26" t="n">
        <f aca="false">AQ3</f>
        <v>46587</v>
      </c>
      <c r="AR4" s="26" t="n">
        <f aca="false">AR3</f>
        <v>46594</v>
      </c>
      <c r="AS4" s="26" t="n">
        <f aca="false">AS3</f>
        <v>46601</v>
      </c>
      <c r="AT4" s="26" t="n">
        <f aca="false">AT3</f>
        <v>46608</v>
      </c>
      <c r="AU4" s="26" t="n">
        <f aca="false">AU3</f>
        <v>46615</v>
      </c>
      <c r="AV4" s="26" t="n">
        <f aca="false">AV3</f>
        <v>46622</v>
      </c>
      <c r="AW4" s="26" t="n">
        <f aca="false">AW3</f>
        <v>46629</v>
      </c>
      <c r="AX4" s="26" t="n">
        <f aca="false">AX3</f>
        <v>46636</v>
      </c>
      <c r="AY4" s="26" t="n">
        <f aca="false">AY3</f>
        <v>46643</v>
      </c>
      <c r="AZ4" s="26" t="n">
        <f aca="false">AZ3</f>
        <v>46650</v>
      </c>
      <c r="BA4" s="26" t="n">
        <f aca="false">BA3</f>
        <v>46657</v>
      </c>
      <c r="BB4" s="26" t="n">
        <f aca="false">BB3</f>
        <v>46664</v>
      </c>
      <c r="BC4" s="26" t="n">
        <f aca="false">BC3</f>
        <v>46671</v>
      </c>
      <c r="BD4" s="26" t="n">
        <f aca="false">BD3</f>
        <v>46678</v>
      </c>
      <c r="BE4" s="26" t="n">
        <f aca="false">BE3</f>
        <v>46685</v>
      </c>
      <c r="BF4" s="26" t="n">
        <f aca="false">BF3</f>
        <v>46692</v>
      </c>
    </row>
    <row r="5" customFormat="false" ht="15" hidden="false" customHeight="true" outlineLevel="0" collapsed="false">
      <c r="A5" s="16" t="s">
        <v>62</v>
      </c>
      <c r="B5" s="27" t="str">
        <f aca="false">IFERROR(INDEX(Plan!$C$2:$C$400,MATCH($A5,Plan!$A$2:$A$400,0)),"")</f>
        <v>Review plan v1 at the biweekly review</v>
      </c>
      <c r="C5" s="28" t="n">
        <f aca="false">IFERROR(INDEX(Plan!$I$2:$I$400,MATCH($A5,Plan!$A$2:$A$400,0)),"")</f>
        <v>46318</v>
      </c>
      <c r="D5" s="28" t="n">
        <f aca="false">IFERROR(INDEX(Plan!$J$2:$J$400,MATCH($A5,Plan!$A$2:$A$400,0)),"")</f>
        <v>46321</v>
      </c>
      <c r="E5" s="29" t="n">
        <f aca="false">IF(OR($C5="",$D5=""),"",IF(AND(E$3&lt;=$D5,E$3+6&gt;=$C5),IF(AND($D5&gt;=E$3,$D5&lt;=E$3+6),2,1),""))</f>
        <v>2</v>
      </c>
      <c r="F5" s="29" t="str">
        <f aca="false">IF(OR($C5="",$D5=""),"",IF(AND(F$3&lt;=$D5,F$3+6&gt;=$C5),IF(AND($D5&gt;=F$3,$D5&lt;=F$3+6),2,1),""))</f>
        <v/>
      </c>
      <c r="G5" s="29" t="str">
        <f aca="false">IF(OR($C5="",$D5=""),"",IF(AND(G$3&lt;=$D5,G$3+6&gt;=$C5),IF(AND($D5&gt;=G$3,$D5&lt;=G$3+6),2,1),""))</f>
        <v/>
      </c>
      <c r="H5" s="29" t="str">
        <f aca="false">IF(OR($C5="",$D5=""),"",IF(AND(H$3&lt;=$D5,H$3+6&gt;=$C5),IF(AND($D5&gt;=H$3,$D5&lt;=H$3+6),2,1),""))</f>
        <v/>
      </c>
      <c r="I5" s="29" t="str">
        <f aca="false">IF(OR($C5="",$D5=""),"",IF(AND(I$3&lt;=$D5,I$3+6&gt;=$C5),IF(AND($D5&gt;=I$3,$D5&lt;=I$3+6),2,1),""))</f>
        <v/>
      </c>
      <c r="J5" s="29" t="str">
        <f aca="false">IF(OR($C5="",$D5=""),"",IF(AND(J$3&lt;=$D5,J$3+6&gt;=$C5),IF(AND($D5&gt;=J$3,$D5&lt;=J$3+6),2,1),""))</f>
        <v/>
      </c>
      <c r="K5" s="29" t="str">
        <f aca="false">IF(OR($C5="",$D5=""),"",IF(AND(K$3&lt;=$D5,K$3+6&gt;=$C5),IF(AND($D5&gt;=K$3,$D5&lt;=K$3+6),2,1),""))</f>
        <v/>
      </c>
      <c r="L5" s="29" t="str">
        <f aca="false">IF(OR($C5="",$D5=""),"",IF(AND(L$3&lt;=$D5,L$3+6&gt;=$C5),IF(AND($D5&gt;=L$3,$D5&lt;=L$3+6),2,1),""))</f>
        <v/>
      </c>
      <c r="M5" s="29" t="str">
        <f aca="false">IF(OR($C5="",$D5=""),"",IF(AND(M$3&lt;=$D5,M$3+6&gt;=$C5),IF(AND($D5&gt;=M$3,$D5&lt;=M$3+6),2,1),""))</f>
        <v/>
      </c>
      <c r="N5" s="29" t="str">
        <f aca="false">IF(OR($C5="",$D5=""),"",IF(AND(N$3&lt;=$D5,N$3+6&gt;=$C5),IF(AND($D5&gt;=N$3,$D5&lt;=N$3+6),2,1),""))</f>
        <v/>
      </c>
      <c r="O5" s="29" t="str">
        <f aca="false">IF(OR($C5="",$D5=""),"",IF(AND(O$3&lt;=$D5,O$3+6&gt;=$C5),IF(AND($D5&gt;=O$3,$D5&lt;=O$3+6),2,1),""))</f>
        <v/>
      </c>
      <c r="P5" s="29" t="str">
        <f aca="false">IF(OR($C5="",$D5=""),"",IF(AND(P$3&lt;=$D5,P$3+6&gt;=$C5),IF(AND($D5&gt;=P$3,$D5&lt;=P$3+6),2,1),""))</f>
        <v/>
      </c>
      <c r="Q5" s="29" t="str">
        <f aca="false">IF(OR($C5="",$D5=""),"",IF(AND(Q$3&lt;=$D5,Q$3+6&gt;=$C5),IF(AND($D5&gt;=Q$3,$D5&lt;=Q$3+6),2,1),""))</f>
        <v/>
      </c>
      <c r="R5" s="29" t="str">
        <f aca="false">IF(OR($C5="",$D5=""),"",IF(AND(R$3&lt;=$D5,R$3+6&gt;=$C5),IF(AND($D5&gt;=R$3,$D5&lt;=R$3+6),2,1),""))</f>
        <v/>
      </c>
      <c r="S5" s="29" t="str">
        <f aca="false">IF(OR($C5="",$D5=""),"",IF(AND(S$3&lt;=$D5,S$3+6&gt;=$C5),IF(AND($D5&gt;=S$3,$D5&lt;=S$3+6),2,1),""))</f>
        <v/>
      </c>
      <c r="T5" s="29" t="str">
        <f aca="false">IF(OR($C5="",$D5=""),"",IF(AND(T$3&lt;=$D5,T$3+6&gt;=$C5),IF(AND($D5&gt;=T$3,$D5&lt;=T$3+6),2,1),""))</f>
        <v/>
      </c>
      <c r="U5" s="29" t="str">
        <f aca="false">IF(OR($C5="",$D5=""),"",IF(AND(U$3&lt;=$D5,U$3+6&gt;=$C5),IF(AND($D5&gt;=U$3,$D5&lt;=U$3+6),2,1),""))</f>
        <v/>
      </c>
      <c r="V5" s="29" t="str">
        <f aca="false">IF(OR($C5="",$D5=""),"",IF(AND(V$3&lt;=$D5,V$3+6&gt;=$C5),IF(AND($D5&gt;=V$3,$D5&lt;=V$3+6),2,1),""))</f>
        <v/>
      </c>
      <c r="W5" s="29" t="str">
        <f aca="false">IF(OR($C5="",$D5=""),"",IF(AND(W$3&lt;=$D5,W$3+6&gt;=$C5),IF(AND($D5&gt;=W$3,$D5&lt;=W$3+6),2,1),""))</f>
        <v/>
      </c>
      <c r="X5" s="29" t="str">
        <f aca="false">IF(OR($C5="",$D5=""),"",IF(AND(X$3&lt;=$D5,X$3+6&gt;=$C5),IF(AND($D5&gt;=X$3,$D5&lt;=X$3+6),2,1),""))</f>
        <v/>
      </c>
      <c r="Y5" s="29" t="str">
        <f aca="false">IF(OR($C5="",$D5=""),"",IF(AND(Y$3&lt;=$D5,Y$3+6&gt;=$C5),IF(AND($D5&gt;=Y$3,$D5&lt;=Y$3+6),2,1),""))</f>
        <v/>
      </c>
      <c r="Z5" s="29" t="str">
        <f aca="false">IF(OR($C5="",$D5=""),"",IF(AND(Z$3&lt;=$D5,Z$3+6&gt;=$C5),IF(AND($D5&gt;=Z$3,$D5&lt;=Z$3+6),2,1),""))</f>
        <v/>
      </c>
      <c r="AA5" s="29" t="str">
        <f aca="false">IF(OR($C5="",$D5=""),"",IF(AND(AA$3&lt;=$D5,AA$3+6&gt;=$C5),IF(AND($D5&gt;=AA$3,$D5&lt;=AA$3+6),2,1),""))</f>
        <v/>
      </c>
      <c r="AB5" s="29" t="str">
        <f aca="false">IF(OR($C5="",$D5=""),"",IF(AND(AB$3&lt;=$D5,AB$3+6&gt;=$C5),IF(AND($D5&gt;=AB$3,$D5&lt;=AB$3+6),2,1),""))</f>
        <v/>
      </c>
      <c r="AC5" s="29" t="str">
        <f aca="false">IF(OR($C5="",$D5=""),"",IF(AND(AC$3&lt;=$D5,AC$3+6&gt;=$C5),IF(AND($D5&gt;=AC$3,$D5&lt;=AC$3+6),2,1),""))</f>
        <v/>
      </c>
      <c r="AD5" s="29" t="str">
        <f aca="false">IF(OR($C5="",$D5=""),"",IF(AND(AD$3&lt;=$D5,AD$3+6&gt;=$C5),IF(AND($D5&gt;=AD$3,$D5&lt;=AD$3+6),2,1),""))</f>
        <v/>
      </c>
      <c r="AE5" s="29" t="str">
        <f aca="false">IF(OR($C5="",$D5=""),"",IF(AND(AE$3&lt;=$D5,AE$3+6&gt;=$C5),IF(AND($D5&gt;=AE$3,$D5&lt;=AE$3+6),2,1),""))</f>
        <v/>
      </c>
      <c r="AF5" s="29" t="str">
        <f aca="false">IF(OR($C5="",$D5=""),"",IF(AND(AF$3&lt;=$D5,AF$3+6&gt;=$C5),IF(AND($D5&gt;=AF$3,$D5&lt;=AF$3+6),2,1),""))</f>
        <v/>
      </c>
      <c r="AG5" s="29" t="str">
        <f aca="false">IF(OR($C5="",$D5=""),"",IF(AND(AG$3&lt;=$D5,AG$3+6&gt;=$C5),IF(AND($D5&gt;=AG$3,$D5&lt;=AG$3+6),2,1),""))</f>
        <v/>
      </c>
      <c r="AH5" s="29" t="str">
        <f aca="false">IF(OR($C5="",$D5=""),"",IF(AND(AH$3&lt;=$D5,AH$3+6&gt;=$C5),IF(AND($D5&gt;=AH$3,$D5&lt;=AH$3+6),2,1),""))</f>
        <v/>
      </c>
      <c r="AI5" s="29" t="str">
        <f aca="false">IF(OR($C5="",$D5=""),"",IF(AND(AI$3&lt;=$D5,AI$3+6&gt;=$C5),IF(AND($D5&gt;=AI$3,$D5&lt;=AI$3+6),2,1),""))</f>
        <v/>
      </c>
      <c r="AJ5" s="29" t="str">
        <f aca="false">IF(OR($C5="",$D5=""),"",IF(AND(AJ$3&lt;=$D5,AJ$3+6&gt;=$C5),IF(AND($D5&gt;=AJ$3,$D5&lt;=AJ$3+6),2,1),""))</f>
        <v/>
      </c>
      <c r="AK5" s="29" t="str">
        <f aca="false">IF(OR($C5="",$D5=""),"",IF(AND(AK$3&lt;=$D5,AK$3+6&gt;=$C5),IF(AND($D5&gt;=AK$3,$D5&lt;=AK$3+6),2,1),""))</f>
        <v/>
      </c>
      <c r="AL5" s="29" t="str">
        <f aca="false">IF(OR($C5="",$D5=""),"",IF(AND(AL$3&lt;=$D5,AL$3+6&gt;=$C5),IF(AND($D5&gt;=AL$3,$D5&lt;=AL$3+6),2,1),""))</f>
        <v/>
      </c>
      <c r="AM5" s="29" t="str">
        <f aca="false">IF(OR($C5="",$D5=""),"",IF(AND(AM$3&lt;=$D5,AM$3+6&gt;=$C5),IF(AND($D5&gt;=AM$3,$D5&lt;=AM$3+6),2,1),""))</f>
        <v/>
      </c>
      <c r="AN5" s="29" t="str">
        <f aca="false">IF(OR($C5="",$D5=""),"",IF(AND(AN$3&lt;=$D5,AN$3+6&gt;=$C5),IF(AND($D5&gt;=AN$3,$D5&lt;=AN$3+6),2,1),""))</f>
        <v/>
      </c>
      <c r="AO5" s="29" t="str">
        <f aca="false">IF(OR($C5="",$D5=""),"",IF(AND(AO$3&lt;=$D5,AO$3+6&gt;=$C5),IF(AND($D5&gt;=AO$3,$D5&lt;=AO$3+6),2,1),""))</f>
        <v/>
      </c>
      <c r="AP5" s="29" t="str">
        <f aca="false">IF(OR($C5="",$D5=""),"",IF(AND(AP$3&lt;=$D5,AP$3+6&gt;=$C5),IF(AND($D5&gt;=AP$3,$D5&lt;=AP$3+6),2,1),""))</f>
        <v/>
      </c>
      <c r="AQ5" s="29" t="str">
        <f aca="false">IF(OR($C5="",$D5=""),"",IF(AND(AQ$3&lt;=$D5,AQ$3+6&gt;=$C5),IF(AND($D5&gt;=AQ$3,$D5&lt;=AQ$3+6),2,1),""))</f>
        <v/>
      </c>
      <c r="AR5" s="29" t="str">
        <f aca="false">IF(OR($C5="",$D5=""),"",IF(AND(AR$3&lt;=$D5,AR$3+6&gt;=$C5),IF(AND($D5&gt;=AR$3,$D5&lt;=AR$3+6),2,1),""))</f>
        <v/>
      </c>
      <c r="AS5" s="29" t="str">
        <f aca="false">IF(OR($C5="",$D5=""),"",IF(AND(AS$3&lt;=$D5,AS$3+6&gt;=$C5),IF(AND($D5&gt;=AS$3,$D5&lt;=AS$3+6),2,1),""))</f>
        <v/>
      </c>
      <c r="AT5" s="29" t="str">
        <f aca="false">IF(OR($C5="",$D5=""),"",IF(AND(AT$3&lt;=$D5,AT$3+6&gt;=$C5),IF(AND($D5&gt;=AT$3,$D5&lt;=AT$3+6),2,1),""))</f>
        <v/>
      </c>
      <c r="AU5" s="29" t="str">
        <f aca="false">IF(OR($C5="",$D5=""),"",IF(AND(AU$3&lt;=$D5,AU$3+6&gt;=$C5),IF(AND($D5&gt;=AU$3,$D5&lt;=AU$3+6),2,1),""))</f>
        <v/>
      </c>
      <c r="AV5" s="29" t="str">
        <f aca="false">IF(OR($C5="",$D5=""),"",IF(AND(AV$3&lt;=$D5,AV$3+6&gt;=$C5),IF(AND($D5&gt;=AV$3,$D5&lt;=AV$3+6),2,1),""))</f>
        <v/>
      </c>
      <c r="AW5" s="29" t="str">
        <f aca="false">IF(OR($C5="",$D5=""),"",IF(AND(AW$3&lt;=$D5,AW$3+6&gt;=$C5),IF(AND($D5&gt;=AW$3,$D5&lt;=AW$3+6),2,1),""))</f>
        <v/>
      </c>
      <c r="AX5" s="29" t="str">
        <f aca="false">IF(OR($C5="",$D5=""),"",IF(AND(AX$3&lt;=$D5,AX$3+6&gt;=$C5),IF(AND($D5&gt;=AX$3,$D5&lt;=AX$3+6),2,1),""))</f>
        <v/>
      </c>
      <c r="AY5" s="29" t="str">
        <f aca="false">IF(OR($C5="",$D5=""),"",IF(AND(AY$3&lt;=$D5,AY$3+6&gt;=$C5),IF(AND($D5&gt;=AY$3,$D5&lt;=AY$3+6),2,1),""))</f>
        <v/>
      </c>
      <c r="AZ5" s="29" t="str">
        <f aca="false">IF(OR($C5="",$D5=""),"",IF(AND(AZ$3&lt;=$D5,AZ$3+6&gt;=$C5),IF(AND($D5&gt;=AZ$3,$D5&lt;=AZ$3+6),2,1),""))</f>
        <v/>
      </c>
      <c r="BA5" s="29" t="str">
        <f aca="false">IF(OR($C5="",$D5=""),"",IF(AND(BA$3&lt;=$D5,BA$3+6&gt;=$C5),IF(AND($D5&gt;=BA$3,$D5&lt;=BA$3+6),2,1),""))</f>
        <v/>
      </c>
      <c r="BB5" s="29" t="str">
        <f aca="false">IF(OR($C5="",$D5=""),"",IF(AND(BB$3&lt;=$D5,BB$3+6&gt;=$C5),IF(AND($D5&gt;=BB$3,$D5&lt;=BB$3+6),2,1),""))</f>
        <v/>
      </c>
      <c r="BC5" s="29" t="str">
        <f aca="false">IF(OR($C5="",$D5=""),"",IF(AND(BC$3&lt;=$D5,BC$3+6&gt;=$C5),IF(AND($D5&gt;=BC$3,$D5&lt;=BC$3+6),2,1),""))</f>
        <v/>
      </c>
      <c r="BD5" s="29" t="str">
        <f aca="false">IF(OR($C5="",$D5=""),"",IF(AND(BD$3&lt;=$D5,BD$3+6&gt;=$C5),IF(AND($D5&gt;=BD$3,$D5&lt;=BD$3+6),2,1),""))</f>
        <v/>
      </c>
      <c r="BE5" s="29" t="str">
        <f aca="false">IF(OR($C5="",$D5=""),"",IF(AND(BE$3&lt;=$D5,BE$3+6&gt;=$C5),IF(AND($D5&gt;=BE$3,$D5&lt;=BE$3+6),2,1),""))</f>
        <v/>
      </c>
      <c r="BF5" s="29" t="str">
        <f aca="false">IF(OR($C5="",$D5=""),"",IF(AND(BF$3&lt;=$D5,BF$3+6&gt;=$C5),IF(AND($D5&gt;=BF$3,$D5&lt;=BF$3+6),2,1),""))</f>
        <v/>
      </c>
    </row>
    <row r="6" customFormat="false" ht="15" hidden="false" customHeight="true" outlineLevel="0" collapsed="false">
      <c r="A6" s="16" t="s">
        <v>72</v>
      </c>
      <c r="B6" s="27" t="str">
        <f aca="false">IFERROR(INDEX(Plan!$C$2:$C$400,MATCH($A6,Plan!$A$2:$A$400,0)),"")</f>
        <v>Form the task force</v>
      </c>
      <c r="C6" s="28" t="n">
        <f aca="false">IFERROR(INDEX(Plan!$I$2:$I$400,MATCH($A6,Plan!$A$2:$A$400,0)),"")</f>
        <v>46321</v>
      </c>
      <c r="D6" s="28" t="n">
        <f aca="false">IFERROR(INDEX(Plan!$J$2:$J$400,MATCH($A6,Plan!$A$2:$A$400,0)),"")</f>
        <v>46323</v>
      </c>
      <c r="E6" s="29" t="n">
        <f aca="false">IF(OR($C6="",$D6=""),"",IF(AND(E$3&lt;=$D6,E$3+6&gt;=$C6),IF(AND($D6&gt;=E$3,$D6&lt;=E$3+6),2,1),""))</f>
        <v>2</v>
      </c>
      <c r="F6" s="29" t="str">
        <f aca="false">IF(OR($C6="",$D6=""),"",IF(AND(F$3&lt;=$D6,F$3+6&gt;=$C6),IF(AND($D6&gt;=F$3,$D6&lt;=F$3+6),2,1),""))</f>
        <v/>
      </c>
      <c r="G6" s="29" t="str">
        <f aca="false">IF(OR($C6="",$D6=""),"",IF(AND(G$3&lt;=$D6,G$3+6&gt;=$C6),IF(AND($D6&gt;=G$3,$D6&lt;=G$3+6),2,1),""))</f>
        <v/>
      </c>
      <c r="H6" s="29" t="str">
        <f aca="false">IF(OR($C6="",$D6=""),"",IF(AND(H$3&lt;=$D6,H$3+6&gt;=$C6),IF(AND($D6&gt;=H$3,$D6&lt;=H$3+6),2,1),""))</f>
        <v/>
      </c>
      <c r="I6" s="29" t="str">
        <f aca="false">IF(OR($C6="",$D6=""),"",IF(AND(I$3&lt;=$D6,I$3+6&gt;=$C6),IF(AND($D6&gt;=I$3,$D6&lt;=I$3+6),2,1),""))</f>
        <v/>
      </c>
      <c r="J6" s="29" t="str">
        <f aca="false">IF(OR($C6="",$D6=""),"",IF(AND(J$3&lt;=$D6,J$3+6&gt;=$C6),IF(AND($D6&gt;=J$3,$D6&lt;=J$3+6),2,1),""))</f>
        <v/>
      </c>
      <c r="K6" s="29" t="str">
        <f aca="false">IF(OR($C6="",$D6=""),"",IF(AND(K$3&lt;=$D6,K$3+6&gt;=$C6),IF(AND($D6&gt;=K$3,$D6&lt;=K$3+6),2,1),""))</f>
        <v/>
      </c>
      <c r="L6" s="29" t="str">
        <f aca="false">IF(OR($C6="",$D6=""),"",IF(AND(L$3&lt;=$D6,L$3+6&gt;=$C6),IF(AND($D6&gt;=L$3,$D6&lt;=L$3+6),2,1),""))</f>
        <v/>
      </c>
      <c r="M6" s="29" t="str">
        <f aca="false">IF(OR($C6="",$D6=""),"",IF(AND(M$3&lt;=$D6,M$3+6&gt;=$C6),IF(AND($D6&gt;=M$3,$D6&lt;=M$3+6),2,1),""))</f>
        <v/>
      </c>
      <c r="N6" s="29" t="str">
        <f aca="false">IF(OR($C6="",$D6=""),"",IF(AND(N$3&lt;=$D6,N$3+6&gt;=$C6),IF(AND($D6&gt;=N$3,$D6&lt;=N$3+6),2,1),""))</f>
        <v/>
      </c>
      <c r="O6" s="29" t="str">
        <f aca="false">IF(OR($C6="",$D6=""),"",IF(AND(O$3&lt;=$D6,O$3+6&gt;=$C6),IF(AND($D6&gt;=O$3,$D6&lt;=O$3+6),2,1),""))</f>
        <v/>
      </c>
      <c r="P6" s="29" t="str">
        <f aca="false">IF(OR($C6="",$D6=""),"",IF(AND(P$3&lt;=$D6,P$3+6&gt;=$C6),IF(AND($D6&gt;=P$3,$D6&lt;=P$3+6),2,1),""))</f>
        <v/>
      </c>
      <c r="Q6" s="29" t="str">
        <f aca="false">IF(OR($C6="",$D6=""),"",IF(AND(Q$3&lt;=$D6,Q$3+6&gt;=$C6),IF(AND($D6&gt;=Q$3,$D6&lt;=Q$3+6),2,1),""))</f>
        <v/>
      </c>
      <c r="R6" s="29" t="str">
        <f aca="false">IF(OR($C6="",$D6=""),"",IF(AND(R$3&lt;=$D6,R$3+6&gt;=$C6),IF(AND($D6&gt;=R$3,$D6&lt;=R$3+6),2,1),""))</f>
        <v/>
      </c>
      <c r="S6" s="29" t="str">
        <f aca="false">IF(OR($C6="",$D6=""),"",IF(AND(S$3&lt;=$D6,S$3+6&gt;=$C6),IF(AND($D6&gt;=S$3,$D6&lt;=S$3+6),2,1),""))</f>
        <v/>
      </c>
      <c r="T6" s="29" t="str">
        <f aca="false">IF(OR($C6="",$D6=""),"",IF(AND(T$3&lt;=$D6,T$3+6&gt;=$C6),IF(AND($D6&gt;=T$3,$D6&lt;=T$3+6),2,1),""))</f>
        <v/>
      </c>
      <c r="U6" s="29" t="str">
        <f aca="false">IF(OR($C6="",$D6=""),"",IF(AND(U$3&lt;=$D6,U$3+6&gt;=$C6),IF(AND($D6&gt;=U$3,$D6&lt;=U$3+6),2,1),""))</f>
        <v/>
      </c>
      <c r="V6" s="29" t="str">
        <f aca="false">IF(OR($C6="",$D6=""),"",IF(AND(V$3&lt;=$D6,V$3+6&gt;=$C6),IF(AND($D6&gt;=V$3,$D6&lt;=V$3+6),2,1),""))</f>
        <v/>
      </c>
      <c r="W6" s="29" t="str">
        <f aca="false">IF(OR($C6="",$D6=""),"",IF(AND(W$3&lt;=$D6,W$3+6&gt;=$C6),IF(AND($D6&gt;=W$3,$D6&lt;=W$3+6),2,1),""))</f>
        <v/>
      </c>
      <c r="X6" s="29" t="str">
        <f aca="false">IF(OR($C6="",$D6=""),"",IF(AND(X$3&lt;=$D6,X$3+6&gt;=$C6),IF(AND($D6&gt;=X$3,$D6&lt;=X$3+6),2,1),""))</f>
        <v/>
      </c>
      <c r="Y6" s="29" t="str">
        <f aca="false">IF(OR($C6="",$D6=""),"",IF(AND(Y$3&lt;=$D6,Y$3+6&gt;=$C6),IF(AND($D6&gt;=Y$3,$D6&lt;=Y$3+6),2,1),""))</f>
        <v/>
      </c>
      <c r="Z6" s="29" t="str">
        <f aca="false">IF(OR($C6="",$D6=""),"",IF(AND(Z$3&lt;=$D6,Z$3+6&gt;=$C6),IF(AND($D6&gt;=Z$3,$D6&lt;=Z$3+6),2,1),""))</f>
        <v/>
      </c>
      <c r="AA6" s="29" t="str">
        <f aca="false">IF(OR($C6="",$D6=""),"",IF(AND(AA$3&lt;=$D6,AA$3+6&gt;=$C6),IF(AND($D6&gt;=AA$3,$D6&lt;=AA$3+6),2,1),""))</f>
        <v/>
      </c>
      <c r="AB6" s="29" t="str">
        <f aca="false">IF(OR($C6="",$D6=""),"",IF(AND(AB$3&lt;=$D6,AB$3+6&gt;=$C6),IF(AND($D6&gt;=AB$3,$D6&lt;=AB$3+6),2,1),""))</f>
        <v/>
      </c>
      <c r="AC6" s="29" t="str">
        <f aca="false">IF(OR($C6="",$D6=""),"",IF(AND(AC$3&lt;=$D6,AC$3+6&gt;=$C6),IF(AND($D6&gt;=AC$3,$D6&lt;=AC$3+6),2,1),""))</f>
        <v/>
      </c>
      <c r="AD6" s="29" t="str">
        <f aca="false">IF(OR($C6="",$D6=""),"",IF(AND(AD$3&lt;=$D6,AD$3+6&gt;=$C6),IF(AND($D6&gt;=AD$3,$D6&lt;=AD$3+6),2,1),""))</f>
        <v/>
      </c>
      <c r="AE6" s="29" t="str">
        <f aca="false">IF(OR($C6="",$D6=""),"",IF(AND(AE$3&lt;=$D6,AE$3+6&gt;=$C6),IF(AND($D6&gt;=AE$3,$D6&lt;=AE$3+6),2,1),""))</f>
        <v/>
      </c>
      <c r="AF6" s="29" t="str">
        <f aca="false">IF(OR($C6="",$D6=""),"",IF(AND(AF$3&lt;=$D6,AF$3+6&gt;=$C6),IF(AND($D6&gt;=AF$3,$D6&lt;=AF$3+6),2,1),""))</f>
        <v/>
      </c>
      <c r="AG6" s="29" t="str">
        <f aca="false">IF(OR($C6="",$D6=""),"",IF(AND(AG$3&lt;=$D6,AG$3+6&gt;=$C6),IF(AND($D6&gt;=AG$3,$D6&lt;=AG$3+6),2,1),""))</f>
        <v/>
      </c>
      <c r="AH6" s="29" t="str">
        <f aca="false">IF(OR($C6="",$D6=""),"",IF(AND(AH$3&lt;=$D6,AH$3+6&gt;=$C6),IF(AND($D6&gt;=AH$3,$D6&lt;=AH$3+6),2,1),""))</f>
        <v/>
      </c>
      <c r="AI6" s="29" t="str">
        <f aca="false">IF(OR($C6="",$D6=""),"",IF(AND(AI$3&lt;=$D6,AI$3+6&gt;=$C6),IF(AND($D6&gt;=AI$3,$D6&lt;=AI$3+6),2,1),""))</f>
        <v/>
      </c>
      <c r="AJ6" s="29" t="str">
        <f aca="false">IF(OR($C6="",$D6=""),"",IF(AND(AJ$3&lt;=$D6,AJ$3+6&gt;=$C6),IF(AND($D6&gt;=AJ$3,$D6&lt;=AJ$3+6),2,1),""))</f>
        <v/>
      </c>
      <c r="AK6" s="29" t="str">
        <f aca="false">IF(OR($C6="",$D6=""),"",IF(AND(AK$3&lt;=$D6,AK$3+6&gt;=$C6),IF(AND($D6&gt;=AK$3,$D6&lt;=AK$3+6),2,1),""))</f>
        <v/>
      </c>
      <c r="AL6" s="29" t="str">
        <f aca="false">IF(OR($C6="",$D6=""),"",IF(AND(AL$3&lt;=$D6,AL$3+6&gt;=$C6),IF(AND($D6&gt;=AL$3,$D6&lt;=AL$3+6),2,1),""))</f>
        <v/>
      </c>
      <c r="AM6" s="29" t="str">
        <f aca="false">IF(OR($C6="",$D6=""),"",IF(AND(AM$3&lt;=$D6,AM$3+6&gt;=$C6),IF(AND($D6&gt;=AM$3,$D6&lt;=AM$3+6),2,1),""))</f>
        <v/>
      </c>
      <c r="AN6" s="29" t="str">
        <f aca="false">IF(OR($C6="",$D6=""),"",IF(AND(AN$3&lt;=$D6,AN$3+6&gt;=$C6),IF(AND($D6&gt;=AN$3,$D6&lt;=AN$3+6),2,1),""))</f>
        <v/>
      </c>
      <c r="AO6" s="29" t="str">
        <f aca="false">IF(OR($C6="",$D6=""),"",IF(AND(AO$3&lt;=$D6,AO$3+6&gt;=$C6),IF(AND($D6&gt;=AO$3,$D6&lt;=AO$3+6),2,1),""))</f>
        <v/>
      </c>
      <c r="AP6" s="29" t="str">
        <f aca="false">IF(OR($C6="",$D6=""),"",IF(AND(AP$3&lt;=$D6,AP$3+6&gt;=$C6),IF(AND($D6&gt;=AP$3,$D6&lt;=AP$3+6),2,1),""))</f>
        <v/>
      </c>
      <c r="AQ6" s="29" t="str">
        <f aca="false">IF(OR($C6="",$D6=""),"",IF(AND(AQ$3&lt;=$D6,AQ$3+6&gt;=$C6),IF(AND($D6&gt;=AQ$3,$D6&lt;=AQ$3+6),2,1),""))</f>
        <v/>
      </c>
      <c r="AR6" s="29" t="str">
        <f aca="false">IF(OR($C6="",$D6=""),"",IF(AND(AR$3&lt;=$D6,AR$3+6&gt;=$C6),IF(AND($D6&gt;=AR$3,$D6&lt;=AR$3+6),2,1),""))</f>
        <v/>
      </c>
      <c r="AS6" s="29" t="str">
        <f aca="false">IF(OR($C6="",$D6=""),"",IF(AND(AS$3&lt;=$D6,AS$3+6&gt;=$C6),IF(AND($D6&gt;=AS$3,$D6&lt;=AS$3+6),2,1),""))</f>
        <v/>
      </c>
      <c r="AT6" s="29" t="str">
        <f aca="false">IF(OR($C6="",$D6=""),"",IF(AND(AT$3&lt;=$D6,AT$3+6&gt;=$C6),IF(AND($D6&gt;=AT$3,$D6&lt;=AT$3+6),2,1),""))</f>
        <v/>
      </c>
      <c r="AU6" s="29" t="str">
        <f aca="false">IF(OR($C6="",$D6=""),"",IF(AND(AU$3&lt;=$D6,AU$3+6&gt;=$C6),IF(AND($D6&gt;=AU$3,$D6&lt;=AU$3+6),2,1),""))</f>
        <v/>
      </c>
      <c r="AV6" s="29" t="str">
        <f aca="false">IF(OR($C6="",$D6=""),"",IF(AND(AV$3&lt;=$D6,AV$3+6&gt;=$C6),IF(AND($D6&gt;=AV$3,$D6&lt;=AV$3+6),2,1),""))</f>
        <v/>
      </c>
      <c r="AW6" s="29" t="str">
        <f aca="false">IF(OR($C6="",$D6=""),"",IF(AND(AW$3&lt;=$D6,AW$3+6&gt;=$C6),IF(AND($D6&gt;=AW$3,$D6&lt;=AW$3+6),2,1),""))</f>
        <v/>
      </c>
      <c r="AX6" s="29" t="str">
        <f aca="false">IF(OR($C6="",$D6=""),"",IF(AND(AX$3&lt;=$D6,AX$3+6&gt;=$C6),IF(AND($D6&gt;=AX$3,$D6&lt;=AX$3+6),2,1),""))</f>
        <v/>
      </c>
      <c r="AY6" s="29" t="str">
        <f aca="false">IF(OR($C6="",$D6=""),"",IF(AND(AY$3&lt;=$D6,AY$3+6&gt;=$C6),IF(AND($D6&gt;=AY$3,$D6&lt;=AY$3+6),2,1),""))</f>
        <v/>
      </c>
      <c r="AZ6" s="29" t="str">
        <f aca="false">IF(OR($C6="",$D6=""),"",IF(AND(AZ$3&lt;=$D6,AZ$3+6&gt;=$C6),IF(AND($D6&gt;=AZ$3,$D6&lt;=AZ$3+6),2,1),""))</f>
        <v/>
      </c>
      <c r="BA6" s="29" t="str">
        <f aca="false">IF(OR($C6="",$D6=""),"",IF(AND(BA$3&lt;=$D6,BA$3+6&gt;=$C6),IF(AND($D6&gt;=BA$3,$D6&lt;=BA$3+6),2,1),""))</f>
        <v/>
      </c>
      <c r="BB6" s="29" t="str">
        <f aca="false">IF(OR($C6="",$D6=""),"",IF(AND(BB$3&lt;=$D6,BB$3+6&gt;=$C6),IF(AND($D6&gt;=BB$3,$D6&lt;=BB$3+6),2,1),""))</f>
        <v/>
      </c>
      <c r="BC6" s="29" t="str">
        <f aca="false">IF(OR($C6="",$D6=""),"",IF(AND(BC$3&lt;=$D6,BC$3+6&gt;=$C6),IF(AND($D6&gt;=BC$3,$D6&lt;=BC$3+6),2,1),""))</f>
        <v/>
      </c>
      <c r="BD6" s="29" t="str">
        <f aca="false">IF(OR($C6="",$D6=""),"",IF(AND(BD$3&lt;=$D6,BD$3+6&gt;=$C6),IF(AND($D6&gt;=BD$3,$D6&lt;=BD$3+6),2,1),""))</f>
        <v/>
      </c>
      <c r="BE6" s="29" t="str">
        <f aca="false">IF(OR($C6="",$D6=""),"",IF(AND(BE$3&lt;=$D6,BE$3+6&gt;=$C6),IF(AND($D6&gt;=BE$3,$D6&lt;=BE$3+6),2,1),""))</f>
        <v/>
      </c>
      <c r="BF6" s="29" t="str">
        <f aca="false">IF(OR($C6="",$D6=""),"",IF(AND(BF$3&lt;=$D6,BF$3+6&gt;=$C6),IF(AND($D6&gt;=BF$3,$D6&lt;=BF$3+6),2,1),""))</f>
        <v/>
      </c>
    </row>
    <row r="7" customFormat="false" ht="15" hidden="false" customHeight="true" outlineLevel="0" collapsed="false">
      <c r="A7" s="16" t="s">
        <v>79</v>
      </c>
      <c r="B7" s="27" t="str">
        <f aca="false">IFERROR(INDEX(Plan!$C$2:$C$400,MATCH($A7,Plan!$A$2:$A$400,0)),"")</f>
        <v>Kick off the task force</v>
      </c>
      <c r="C7" s="28" t="n">
        <f aca="false">IFERROR(INDEX(Plan!$I$2:$I$400,MATCH($A7,Plan!$A$2:$A$400,0)),"")</f>
        <v>46324</v>
      </c>
      <c r="D7" s="28" t="n">
        <f aca="false">IFERROR(INDEX(Plan!$J$2:$J$400,MATCH($A7,Plan!$A$2:$A$400,0)),"")</f>
        <v>46324</v>
      </c>
      <c r="E7" s="29" t="n">
        <f aca="false">IF(OR($C7="",$D7=""),"",IF(AND(E$3&lt;=$D7,E$3+6&gt;=$C7),IF(AND($D7&gt;=E$3,$D7&lt;=E$3+6),2,1),""))</f>
        <v>2</v>
      </c>
      <c r="F7" s="29" t="str">
        <f aca="false">IF(OR($C7="",$D7=""),"",IF(AND(F$3&lt;=$D7,F$3+6&gt;=$C7),IF(AND($D7&gt;=F$3,$D7&lt;=F$3+6),2,1),""))</f>
        <v/>
      </c>
      <c r="G7" s="29" t="str">
        <f aca="false">IF(OR($C7="",$D7=""),"",IF(AND(G$3&lt;=$D7,G$3+6&gt;=$C7),IF(AND($D7&gt;=G$3,$D7&lt;=G$3+6),2,1),""))</f>
        <v/>
      </c>
      <c r="H7" s="29" t="str">
        <f aca="false">IF(OR($C7="",$D7=""),"",IF(AND(H$3&lt;=$D7,H$3+6&gt;=$C7),IF(AND($D7&gt;=H$3,$D7&lt;=H$3+6),2,1),""))</f>
        <v/>
      </c>
      <c r="I7" s="29" t="str">
        <f aca="false">IF(OR($C7="",$D7=""),"",IF(AND(I$3&lt;=$D7,I$3+6&gt;=$C7),IF(AND($D7&gt;=I$3,$D7&lt;=I$3+6),2,1),""))</f>
        <v/>
      </c>
      <c r="J7" s="29" t="str">
        <f aca="false">IF(OR($C7="",$D7=""),"",IF(AND(J$3&lt;=$D7,J$3+6&gt;=$C7),IF(AND($D7&gt;=J$3,$D7&lt;=J$3+6),2,1),""))</f>
        <v/>
      </c>
      <c r="K7" s="29" t="str">
        <f aca="false">IF(OR($C7="",$D7=""),"",IF(AND(K$3&lt;=$D7,K$3+6&gt;=$C7),IF(AND($D7&gt;=K$3,$D7&lt;=K$3+6),2,1),""))</f>
        <v/>
      </c>
      <c r="L7" s="29" t="str">
        <f aca="false">IF(OR($C7="",$D7=""),"",IF(AND(L$3&lt;=$D7,L$3+6&gt;=$C7),IF(AND($D7&gt;=L$3,$D7&lt;=L$3+6),2,1),""))</f>
        <v/>
      </c>
      <c r="M7" s="29" t="str">
        <f aca="false">IF(OR($C7="",$D7=""),"",IF(AND(M$3&lt;=$D7,M$3+6&gt;=$C7),IF(AND($D7&gt;=M$3,$D7&lt;=M$3+6),2,1),""))</f>
        <v/>
      </c>
      <c r="N7" s="29" t="str">
        <f aca="false">IF(OR($C7="",$D7=""),"",IF(AND(N$3&lt;=$D7,N$3+6&gt;=$C7),IF(AND($D7&gt;=N$3,$D7&lt;=N$3+6),2,1),""))</f>
        <v/>
      </c>
      <c r="O7" s="29" t="str">
        <f aca="false">IF(OR($C7="",$D7=""),"",IF(AND(O$3&lt;=$D7,O$3+6&gt;=$C7),IF(AND($D7&gt;=O$3,$D7&lt;=O$3+6),2,1),""))</f>
        <v/>
      </c>
      <c r="P7" s="29" t="str">
        <f aca="false">IF(OR($C7="",$D7=""),"",IF(AND(P$3&lt;=$D7,P$3+6&gt;=$C7),IF(AND($D7&gt;=P$3,$D7&lt;=P$3+6),2,1),""))</f>
        <v/>
      </c>
      <c r="Q7" s="29" t="str">
        <f aca="false">IF(OR($C7="",$D7=""),"",IF(AND(Q$3&lt;=$D7,Q$3+6&gt;=$C7),IF(AND($D7&gt;=Q$3,$D7&lt;=Q$3+6),2,1),""))</f>
        <v/>
      </c>
      <c r="R7" s="29" t="str">
        <f aca="false">IF(OR($C7="",$D7=""),"",IF(AND(R$3&lt;=$D7,R$3+6&gt;=$C7),IF(AND($D7&gt;=R$3,$D7&lt;=R$3+6),2,1),""))</f>
        <v/>
      </c>
      <c r="S7" s="29" t="str">
        <f aca="false">IF(OR($C7="",$D7=""),"",IF(AND(S$3&lt;=$D7,S$3+6&gt;=$C7),IF(AND($D7&gt;=S$3,$D7&lt;=S$3+6),2,1),""))</f>
        <v/>
      </c>
      <c r="T7" s="29" t="str">
        <f aca="false">IF(OR($C7="",$D7=""),"",IF(AND(T$3&lt;=$D7,T$3+6&gt;=$C7),IF(AND($D7&gt;=T$3,$D7&lt;=T$3+6),2,1),""))</f>
        <v/>
      </c>
      <c r="U7" s="29" t="str">
        <f aca="false">IF(OR($C7="",$D7=""),"",IF(AND(U$3&lt;=$D7,U$3+6&gt;=$C7),IF(AND($D7&gt;=U$3,$D7&lt;=U$3+6),2,1),""))</f>
        <v/>
      </c>
      <c r="V7" s="29" t="str">
        <f aca="false">IF(OR($C7="",$D7=""),"",IF(AND(V$3&lt;=$D7,V$3+6&gt;=$C7),IF(AND($D7&gt;=V$3,$D7&lt;=V$3+6),2,1),""))</f>
        <v/>
      </c>
      <c r="W7" s="29" t="str">
        <f aca="false">IF(OR($C7="",$D7=""),"",IF(AND(W$3&lt;=$D7,W$3+6&gt;=$C7),IF(AND($D7&gt;=W$3,$D7&lt;=W$3+6),2,1),""))</f>
        <v/>
      </c>
      <c r="X7" s="29" t="str">
        <f aca="false">IF(OR($C7="",$D7=""),"",IF(AND(X$3&lt;=$D7,X$3+6&gt;=$C7),IF(AND($D7&gt;=X$3,$D7&lt;=X$3+6),2,1),""))</f>
        <v/>
      </c>
      <c r="Y7" s="29" t="str">
        <f aca="false">IF(OR($C7="",$D7=""),"",IF(AND(Y$3&lt;=$D7,Y$3+6&gt;=$C7),IF(AND($D7&gt;=Y$3,$D7&lt;=Y$3+6),2,1),""))</f>
        <v/>
      </c>
      <c r="Z7" s="29" t="str">
        <f aca="false">IF(OR($C7="",$D7=""),"",IF(AND(Z$3&lt;=$D7,Z$3+6&gt;=$C7),IF(AND($D7&gt;=Z$3,$D7&lt;=Z$3+6),2,1),""))</f>
        <v/>
      </c>
      <c r="AA7" s="29" t="str">
        <f aca="false">IF(OR($C7="",$D7=""),"",IF(AND(AA$3&lt;=$D7,AA$3+6&gt;=$C7),IF(AND($D7&gt;=AA$3,$D7&lt;=AA$3+6),2,1),""))</f>
        <v/>
      </c>
      <c r="AB7" s="29" t="str">
        <f aca="false">IF(OR($C7="",$D7=""),"",IF(AND(AB$3&lt;=$D7,AB$3+6&gt;=$C7),IF(AND($D7&gt;=AB$3,$D7&lt;=AB$3+6),2,1),""))</f>
        <v/>
      </c>
      <c r="AC7" s="29" t="str">
        <f aca="false">IF(OR($C7="",$D7=""),"",IF(AND(AC$3&lt;=$D7,AC$3+6&gt;=$C7),IF(AND($D7&gt;=AC$3,$D7&lt;=AC$3+6),2,1),""))</f>
        <v/>
      </c>
      <c r="AD7" s="29" t="str">
        <f aca="false">IF(OR($C7="",$D7=""),"",IF(AND(AD$3&lt;=$D7,AD$3+6&gt;=$C7),IF(AND($D7&gt;=AD$3,$D7&lt;=AD$3+6),2,1),""))</f>
        <v/>
      </c>
      <c r="AE7" s="29" t="str">
        <f aca="false">IF(OR($C7="",$D7=""),"",IF(AND(AE$3&lt;=$D7,AE$3+6&gt;=$C7),IF(AND($D7&gt;=AE$3,$D7&lt;=AE$3+6),2,1),""))</f>
        <v/>
      </c>
      <c r="AF7" s="29" t="str">
        <f aca="false">IF(OR($C7="",$D7=""),"",IF(AND(AF$3&lt;=$D7,AF$3+6&gt;=$C7),IF(AND($D7&gt;=AF$3,$D7&lt;=AF$3+6),2,1),""))</f>
        <v/>
      </c>
      <c r="AG7" s="29" t="str">
        <f aca="false">IF(OR($C7="",$D7=""),"",IF(AND(AG$3&lt;=$D7,AG$3+6&gt;=$C7),IF(AND($D7&gt;=AG$3,$D7&lt;=AG$3+6),2,1),""))</f>
        <v/>
      </c>
      <c r="AH7" s="29" t="str">
        <f aca="false">IF(OR($C7="",$D7=""),"",IF(AND(AH$3&lt;=$D7,AH$3+6&gt;=$C7),IF(AND($D7&gt;=AH$3,$D7&lt;=AH$3+6),2,1),""))</f>
        <v/>
      </c>
      <c r="AI7" s="29" t="str">
        <f aca="false">IF(OR($C7="",$D7=""),"",IF(AND(AI$3&lt;=$D7,AI$3+6&gt;=$C7),IF(AND($D7&gt;=AI$3,$D7&lt;=AI$3+6),2,1),""))</f>
        <v/>
      </c>
      <c r="AJ7" s="29" t="str">
        <f aca="false">IF(OR($C7="",$D7=""),"",IF(AND(AJ$3&lt;=$D7,AJ$3+6&gt;=$C7),IF(AND($D7&gt;=AJ$3,$D7&lt;=AJ$3+6),2,1),""))</f>
        <v/>
      </c>
      <c r="AK7" s="29" t="str">
        <f aca="false">IF(OR($C7="",$D7=""),"",IF(AND(AK$3&lt;=$D7,AK$3+6&gt;=$C7),IF(AND($D7&gt;=AK$3,$D7&lt;=AK$3+6),2,1),""))</f>
        <v/>
      </c>
      <c r="AL7" s="29" t="str">
        <f aca="false">IF(OR($C7="",$D7=""),"",IF(AND(AL$3&lt;=$D7,AL$3+6&gt;=$C7),IF(AND($D7&gt;=AL$3,$D7&lt;=AL$3+6),2,1),""))</f>
        <v/>
      </c>
      <c r="AM7" s="29" t="str">
        <f aca="false">IF(OR($C7="",$D7=""),"",IF(AND(AM$3&lt;=$D7,AM$3+6&gt;=$C7),IF(AND($D7&gt;=AM$3,$D7&lt;=AM$3+6),2,1),""))</f>
        <v/>
      </c>
      <c r="AN7" s="29" t="str">
        <f aca="false">IF(OR($C7="",$D7=""),"",IF(AND(AN$3&lt;=$D7,AN$3+6&gt;=$C7),IF(AND($D7&gt;=AN$3,$D7&lt;=AN$3+6),2,1),""))</f>
        <v/>
      </c>
      <c r="AO7" s="29" t="str">
        <f aca="false">IF(OR($C7="",$D7=""),"",IF(AND(AO$3&lt;=$D7,AO$3+6&gt;=$C7),IF(AND($D7&gt;=AO$3,$D7&lt;=AO$3+6),2,1),""))</f>
        <v/>
      </c>
      <c r="AP7" s="29" t="str">
        <f aca="false">IF(OR($C7="",$D7=""),"",IF(AND(AP$3&lt;=$D7,AP$3+6&gt;=$C7),IF(AND($D7&gt;=AP$3,$D7&lt;=AP$3+6),2,1),""))</f>
        <v/>
      </c>
      <c r="AQ7" s="29" t="str">
        <f aca="false">IF(OR($C7="",$D7=""),"",IF(AND(AQ$3&lt;=$D7,AQ$3+6&gt;=$C7),IF(AND($D7&gt;=AQ$3,$D7&lt;=AQ$3+6),2,1),""))</f>
        <v/>
      </c>
      <c r="AR7" s="29" t="str">
        <f aca="false">IF(OR($C7="",$D7=""),"",IF(AND(AR$3&lt;=$D7,AR$3+6&gt;=$C7),IF(AND($D7&gt;=AR$3,$D7&lt;=AR$3+6),2,1),""))</f>
        <v/>
      </c>
      <c r="AS7" s="29" t="str">
        <f aca="false">IF(OR($C7="",$D7=""),"",IF(AND(AS$3&lt;=$D7,AS$3+6&gt;=$C7),IF(AND($D7&gt;=AS$3,$D7&lt;=AS$3+6),2,1),""))</f>
        <v/>
      </c>
      <c r="AT7" s="29" t="str">
        <f aca="false">IF(OR($C7="",$D7=""),"",IF(AND(AT$3&lt;=$D7,AT$3+6&gt;=$C7),IF(AND($D7&gt;=AT$3,$D7&lt;=AT$3+6),2,1),""))</f>
        <v/>
      </c>
      <c r="AU7" s="29" t="str">
        <f aca="false">IF(OR($C7="",$D7=""),"",IF(AND(AU$3&lt;=$D7,AU$3+6&gt;=$C7),IF(AND($D7&gt;=AU$3,$D7&lt;=AU$3+6),2,1),""))</f>
        <v/>
      </c>
      <c r="AV7" s="29" t="str">
        <f aca="false">IF(OR($C7="",$D7=""),"",IF(AND(AV$3&lt;=$D7,AV$3+6&gt;=$C7),IF(AND($D7&gt;=AV$3,$D7&lt;=AV$3+6),2,1),""))</f>
        <v/>
      </c>
      <c r="AW7" s="29" t="str">
        <f aca="false">IF(OR($C7="",$D7=""),"",IF(AND(AW$3&lt;=$D7,AW$3+6&gt;=$C7),IF(AND($D7&gt;=AW$3,$D7&lt;=AW$3+6),2,1),""))</f>
        <v/>
      </c>
      <c r="AX7" s="29" t="str">
        <f aca="false">IF(OR($C7="",$D7=""),"",IF(AND(AX$3&lt;=$D7,AX$3+6&gt;=$C7),IF(AND($D7&gt;=AX$3,$D7&lt;=AX$3+6),2,1),""))</f>
        <v/>
      </c>
      <c r="AY7" s="29" t="str">
        <f aca="false">IF(OR($C7="",$D7=""),"",IF(AND(AY$3&lt;=$D7,AY$3+6&gt;=$C7),IF(AND($D7&gt;=AY$3,$D7&lt;=AY$3+6),2,1),""))</f>
        <v/>
      </c>
      <c r="AZ7" s="29" t="str">
        <f aca="false">IF(OR($C7="",$D7=""),"",IF(AND(AZ$3&lt;=$D7,AZ$3+6&gt;=$C7),IF(AND($D7&gt;=AZ$3,$D7&lt;=AZ$3+6),2,1),""))</f>
        <v/>
      </c>
      <c r="BA7" s="29" t="str">
        <f aca="false">IF(OR($C7="",$D7=""),"",IF(AND(BA$3&lt;=$D7,BA$3+6&gt;=$C7),IF(AND($D7&gt;=BA$3,$D7&lt;=BA$3+6),2,1),""))</f>
        <v/>
      </c>
      <c r="BB7" s="29" t="str">
        <f aca="false">IF(OR($C7="",$D7=""),"",IF(AND(BB$3&lt;=$D7,BB$3+6&gt;=$C7),IF(AND($D7&gt;=BB$3,$D7&lt;=BB$3+6),2,1),""))</f>
        <v/>
      </c>
      <c r="BC7" s="29" t="str">
        <f aca="false">IF(OR($C7="",$D7=""),"",IF(AND(BC$3&lt;=$D7,BC$3+6&gt;=$C7),IF(AND($D7&gt;=BC$3,$D7&lt;=BC$3+6),2,1),""))</f>
        <v/>
      </c>
      <c r="BD7" s="29" t="str">
        <f aca="false">IF(OR($C7="",$D7=""),"",IF(AND(BD$3&lt;=$D7,BD$3+6&gt;=$C7),IF(AND($D7&gt;=BD$3,$D7&lt;=BD$3+6),2,1),""))</f>
        <v/>
      </c>
      <c r="BE7" s="29" t="str">
        <f aca="false">IF(OR($C7="",$D7=""),"",IF(AND(BE$3&lt;=$D7,BE$3+6&gt;=$C7),IF(AND($D7&gt;=BE$3,$D7&lt;=BE$3+6),2,1),""))</f>
        <v/>
      </c>
      <c r="BF7" s="29" t="str">
        <f aca="false">IF(OR($C7="",$D7=""),"",IF(AND(BF$3&lt;=$D7,BF$3+6&gt;=$C7),IF(AND($D7&gt;=BF$3,$D7&lt;=BF$3+6),2,1),""))</f>
        <v/>
      </c>
    </row>
    <row r="8" customFormat="false" ht="15" hidden="false" customHeight="true" outlineLevel="0" collapsed="false">
      <c r="A8" s="16" t="s">
        <v>85</v>
      </c>
      <c r="B8" s="27" t="str">
        <f aca="false">IFERROR(INDEX(Plan!$C$2:$C$400,MATCH($A8,Plan!$A$2:$A$400,0)),"")</f>
        <v>Run the program cadence</v>
      </c>
      <c r="C8" s="28" t="n">
        <f aca="false">IFERROR(INDEX(Plan!$I$2:$I$400,MATCH($A8,Plan!$A$2:$A$400,0)),"")</f>
        <v>46324</v>
      </c>
      <c r="D8" s="28" t="n">
        <f aca="false">IFERROR(INDEX(Plan!$J$2:$J$400,MATCH($A8,Plan!$A$2:$A$400,0)),"")</f>
        <v>46689</v>
      </c>
      <c r="E8" s="29" t="n">
        <f aca="false">IF(OR($C8="",$D8=""),"",IF(AND(E$3&lt;=$D8,E$3+6&gt;=$C8),IF(AND($D8&gt;=E$3,$D8&lt;=E$3+6),2,1),""))</f>
        <v>1</v>
      </c>
      <c r="F8" s="29" t="n">
        <f aca="false">IF(OR($C8="",$D8=""),"",IF(AND(F$3&lt;=$D8,F$3+6&gt;=$C8),IF(AND($D8&gt;=F$3,$D8&lt;=F$3+6),2,1),""))</f>
        <v>1</v>
      </c>
      <c r="G8" s="29" t="n">
        <f aca="false">IF(OR($C8="",$D8=""),"",IF(AND(G$3&lt;=$D8,G$3+6&gt;=$C8),IF(AND($D8&gt;=G$3,$D8&lt;=G$3+6),2,1),""))</f>
        <v>1</v>
      </c>
      <c r="H8" s="29" t="n">
        <f aca="false">IF(OR($C8="",$D8=""),"",IF(AND(H$3&lt;=$D8,H$3+6&gt;=$C8),IF(AND($D8&gt;=H$3,$D8&lt;=H$3+6),2,1),""))</f>
        <v>1</v>
      </c>
      <c r="I8" s="29" t="n">
        <f aca="false">IF(OR($C8="",$D8=""),"",IF(AND(I$3&lt;=$D8,I$3+6&gt;=$C8),IF(AND($D8&gt;=I$3,$D8&lt;=I$3+6),2,1),""))</f>
        <v>1</v>
      </c>
      <c r="J8" s="29" t="n">
        <f aca="false">IF(OR($C8="",$D8=""),"",IF(AND(J$3&lt;=$D8,J$3+6&gt;=$C8),IF(AND($D8&gt;=J$3,$D8&lt;=J$3+6),2,1),""))</f>
        <v>1</v>
      </c>
      <c r="K8" s="29" t="n">
        <f aca="false">IF(OR($C8="",$D8=""),"",IF(AND(K$3&lt;=$D8,K$3+6&gt;=$C8),IF(AND($D8&gt;=K$3,$D8&lt;=K$3+6),2,1),""))</f>
        <v>1</v>
      </c>
      <c r="L8" s="29" t="n">
        <f aca="false">IF(OR($C8="",$D8=""),"",IF(AND(L$3&lt;=$D8,L$3+6&gt;=$C8),IF(AND($D8&gt;=L$3,$D8&lt;=L$3+6),2,1),""))</f>
        <v>1</v>
      </c>
      <c r="M8" s="29" t="n">
        <f aca="false">IF(OR($C8="",$D8=""),"",IF(AND(M$3&lt;=$D8,M$3+6&gt;=$C8),IF(AND($D8&gt;=M$3,$D8&lt;=M$3+6),2,1),""))</f>
        <v>1</v>
      </c>
      <c r="N8" s="29" t="n">
        <f aca="false">IF(OR($C8="",$D8=""),"",IF(AND(N$3&lt;=$D8,N$3+6&gt;=$C8),IF(AND($D8&gt;=N$3,$D8&lt;=N$3+6),2,1),""))</f>
        <v>1</v>
      </c>
      <c r="O8" s="29" t="n">
        <f aca="false">IF(OR($C8="",$D8=""),"",IF(AND(O$3&lt;=$D8,O$3+6&gt;=$C8),IF(AND($D8&gt;=O$3,$D8&lt;=O$3+6),2,1),""))</f>
        <v>1</v>
      </c>
      <c r="P8" s="29" t="n">
        <f aca="false">IF(OR($C8="",$D8=""),"",IF(AND(P$3&lt;=$D8,P$3+6&gt;=$C8),IF(AND($D8&gt;=P$3,$D8&lt;=P$3+6),2,1),""))</f>
        <v>1</v>
      </c>
      <c r="Q8" s="29" t="n">
        <f aca="false">IF(OR($C8="",$D8=""),"",IF(AND(Q$3&lt;=$D8,Q$3+6&gt;=$C8),IF(AND($D8&gt;=Q$3,$D8&lt;=Q$3+6),2,1),""))</f>
        <v>1</v>
      </c>
      <c r="R8" s="29" t="n">
        <f aca="false">IF(OR($C8="",$D8=""),"",IF(AND(R$3&lt;=$D8,R$3+6&gt;=$C8),IF(AND($D8&gt;=R$3,$D8&lt;=R$3+6),2,1),""))</f>
        <v>1</v>
      </c>
      <c r="S8" s="29" t="n">
        <f aca="false">IF(OR($C8="",$D8=""),"",IF(AND(S$3&lt;=$D8,S$3+6&gt;=$C8),IF(AND($D8&gt;=S$3,$D8&lt;=S$3+6),2,1),""))</f>
        <v>1</v>
      </c>
      <c r="T8" s="29" t="n">
        <f aca="false">IF(OR($C8="",$D8=""),"",IF(AND(T$3&lt;=$D8,T$3+6&gt;=$C8),IF(AND($D8&gt;=T$3,$D8&lt;=T$3+6),2,1),""))</f>
        <v>1</v>
      </c>
      <c r="U8" s="29" t="n">
        <f aca="false">IF(OR($C8="",$D8=""),"",IF(AND(U$3&lt;=$D8,U$3+6&gt;=$C8),IF(AND($D8&gt;=U$3,$D8&lt;=U$3+6),2,1),""))</f>
        <v>1</v>
      </c>
      <c r="V8" s="29" t="n">
        <f aca="false">IF(OR($C8="",$D8=""),"",IF(AND(V$3&lt;=$D8,V$3+6&gt;=$C8),IF(AND($D8&gt;=V$3,$D8&lt;=V$3+6),2,1),""))</f>
        <v>1</v>
      </c>
      <c r="W8" s="29" t="n">
        <f aca="false">IF(OR($C8="",$D8=""),"",IF(AND(W$3&lt;=$D8,W$3+6&gt;=$C8),IF(AND($D8&gt;=W$3,$D8&lt;=W$3+6),2,1),""))</f>
        <v>1</v>
      </c>
      <c r="X8" s="29" t="n">
        <f aca="false">IF(OR($C8="",$D8=""),"",IF(AND(X$3&lt;=$D8,X$3+6&gt;=$C8),IF(AND($D8&gt;=X$3,$D8&lt;=X$3+6),2,1),""))</f>
        <v>1</v>
      </c>
      <c r="Y8" s="29" t="n">
        <f aca="false">IF(OR($C8="",$D8=""),"",IF(AND(Y$3&lt;=$D8,Y$3+6&gt;=$C8),IF(AND($D8&gt;=Y$3,$D8&lt;=Y$3+6),2,1),""))</f>
        <v>1</v>
      </c>
      <c r="Z8" s="29" t="n">
        <f aca="false">IF(OR($C8="",$D8=""),"",IF(AND(Z$3&lt;=$D8,Z$3+6&gt;=$C8),IF(AND($D8&gt;=Z$3,$D8&lt;=Z$3+6),2,1),""))</f>
        <v>1</v>
      </c>
      <c r="AA8" s="29" t="n">
        <f aca="false">IF(OR($C8="",$D8=""),"",IF(AND(AA$3&lt;=$D8,AA$3+6&gt;=$C8),IF(AND($D8&gt;=AA$3,$D8&lt;=AA$3+6),2,1),""))</f>
        <v>1</v>
      </c>
      <c r="AB8" s="29" t="n">
        <f aca="false">IF(OR($C8="",$D8=""),"",IF(AND(AB$3&lt;=$D8,AB$3+6&gt;=$C8),IF(AND($D8&gt;=AB$3,$D8&lt;=AB$3+6),2,1),""))</f>
        <v>1</v>
      </c>
      <c r="AC8" s="29" t="n">
        <f aca="false">IF(OR($C8="",$D8=""),"",IF(AND(AC$3&lt;=$D8,AC$3+6&gt;=$C8),IF(AND($D8&gt;=AC$3,$D8&lt;=AC$3+6),2,1),""))</f>
        <v>1</v>
      </c>
      <c r="AD8" s="29" t="n">
        <f aca="false">IF(OR($C8="",$D8=""),"",IF(AND(AD$3&lt;=$D8,AD$3+6&gt;=$C8),IF(AND($D8&gt;=AD$3,$D8&lt;=AD$3+6),2,1),""))</f>
        <v>1</v>
      </c>
      <c r="AE8" s="29" t="n">
        <f aca="false">IF(OR($C8="",$D8=""),"",IF(AND(AE$3&lt;=$D8,AE$3+6&gt;=$C8),IF(AND($D8&gt;=AE$3,$D8&lt;=AE$3+6),2,1),""))</f>
        <v>1</v>
      </c>
      <c r="AF8" s="29" t="n">
        <f aca="false">IF(OR($C8="",$D8=""),"",IF(AND(AF$3&lt;=$D8,AF$3+6&gt;=$C8),IF(AND($D8&gt;=AF$3,$D8&lt;=AF$3+6),2,1),""))</f>
        <v>1</v>
      </c>
      <c r="AG8" s="29" t="n">
        <f aca="false">IF(OR($C8="",$D8=""),"",IF(AND(AG$3&lt;=$D8,AG$3+6&gt;=$C8),IF(AND($D8&gt;=AG$3,$D8&lt;=AG$3+6),2,1),""))</f>
        <v>1</v>
      </c>
      <c r="AH8" s="29" t="n">
        <f aca="false">IF(OR($C8="",$D8=""),"",IF(AND(AH$3&lt;=$D8,AH$3+6&gt;=$C8),IF(AND($D8&gt;=AH$3,$D8&lt;=AH$3+6),2,1),""))</f>
        <v>1</v>
      </c>
      <c r="AI8" s="29" t="n">
        <f aca="false">IF(OR($C8="",$D8=""),"",IF(AND(AI$3&lt;=$D8,AI$3+6&gt;=$C8),IF(AND($D8&gt;=AI$3,$D8&lt;=AI$3+6),2,1),""))</f>
        <v>1</v>
      </c>
      <c r="AJ8" s="29" t="n">
        <f aca="false">IF(OR($C8="",$D8=""),"",IF(AND(AJ$3&lt;=$D8,AJ$3+6&gt;=$C8),IF(AND($D8&gt;=AJ$3,$D8&lt;=AJ$3+6),2,1),""))</f>
        <v>1</v>
      </c>
      <c r="AK8" s="29" t="n">
        <f aca="false">IF(OR($C8="",$D8=""),"",IF(AND(AK$3&lt;=$D8,AK$3+6&gt;=$C8),IF(AND($D8&gt;=AK$3,$D8&lt;=AK$3+6),2,1),""))</f>
        <v>1</v>
      </c>
      <c r="AL8" s="29" t="n">
        <f aca="false">IF(OR($C8="",$D8=""),"",IF(AND(AL$3&lt;=$D8,AL$3+6&gt;=$C8),IF(AND($D8&gt;=AL$3,$D8&lt;=AL$3+6),2,1),""))</f>
        <v>1</v>
      </c>
      <c r="AM8" s="29" t="n">
        <f aca="false">IF(OR($C8="",$D8=""),"",IF(AND(AM$3&lt;=$D8,AM$3+6&gt;=$C8),IF(AND($D8&gt;=AM$3,$D8&lt;=AM$3+6),2,1),""))</f>
        <v>1</v>
      </c>
      <c r="AN8" s="29" t="n">
        <f aca="false">IF(OR($C8="",$D8=""),"",IF(AND(AN$3&lt;=$D8,AN$3+6&gt;=$C8),IF(AND($D8&gt;=AN$3,$D8&lt;=AN$3+6),2,1),""))</f>
        <v>1</v>
      </c>
      <c r="AO8" s="29" t="n">
        <f aca="false">IF(OR($C8="",$D8=""),"",IF(AND(AO$3&lt;=$D8,AO$3+6&gt;=$C8),IF(AND($D8&gt;=AO$3,$D8&lt;=AO$3+6),2,1),""))</f>
        <v>1</v>
      </c>
      <c r="AP8" s="29" t="n">
        <f aca="false">IF(OR($C8="",$D8=""),"",IF(AND(AP$3&lt;=$D8,AP$3+6&gt;=$C8),IF(AND($D8&gt;=AP$3,$D8&lt;=AP$3+6),2,1),""))</f>
        <v>1</v>
      </c>
      <c r="AQ8" s="29" t="n">
        <f aca="false">IF(OR($C8="",$D8=""),"",IF(AND(AQ$3&lt;=$D8,AQ$3+6&gt;=$C8),IF(AND($D8&gt;=AQ$3,$D8&lt;=AQ$3+6),2,1),""))</f>
        <v>1</v>
      </c>
      <c r="AR8" s="29" t="n">
        <f aca="false">IF(OR($C8="",$D8=""),"",IF(AND(AR$3&lt;=$D8,AR$3+6&gt;=$C8),IF(AND($D8&gt;=AR$3,$D8&lt;=AR$3+6),2,1),""))</f>
        <v>1</v>
      </c>
      <c r="AS8" s="29" t="n">
        <f aca="false">IF(OR($C8="",$D8=""),"",IF(AND(AS$3&lt;=$D8,AS$3+6&gt;=$C8),IF(AND($D8&gt;=AS$3,$D8&lt;=AS$3+6),2,1),""))</f>
        <v>1</v>
      </c>
      <c r="AT8" s="29" t="n">
        <f aca="false">IF(OR($C8="",$D8=""),"",IF(AND(AT$3&lt;=$D8,AT$3+6&gt;=$C8),IF(AND($D8&gt;=AT$3,$D8&lt;=AT$3+6),2,1),""))</f>
        <v>1</v>
      </c>
      <c r="AU8" s="29" t="n">
        <f aca="false">IF(OR($C8="",$D8=""),"",IF(AND(AU$3&lt;=$D8,AU$3+6&gt;=$C8),IF(AND($D8&gt;=AU$3,$D8&lt;=AU$3+6),2,1),""))</f>
        <v>1</v>
      </c>
      <c r="AV8" s="29" t="n">
        <f aca="false">IF(OR($C8="",$D8=""),"",IF(AND(AV$3&lt;=$D8,AV$3+6&gt;=$C8),IF(AND($D8&gt;=AV$3,$D8&lt;=AV$3+6),2,1),""))</f>
        <v>1</v>
      </c>
      <c r="AW8" s="29" t="n">
        <f aca="false">IF(OR($C8="",$D8=""),"",IF(AND(AW$3&lt;=$D8,AW$3+6&gt;=$C8),IF(AND($D8&gt;=AW$3,$D8&lt;=AW$3+6),2,1),""))</f>
        <v>1</v>
      </c>
      <c r="AX8" s="29" t="n">
        <f aca="false">IF(OR($C8="",$D8=""),"",IF(AND(AX$3&lt;=$D8,AX$3+6&gt;=$C8),IF(AND($D8&gt;=AX$3,$D8&lt;=AX$3+6),2,1),""))</f>
        <v>1</v>
      </c>
      <c r="AY8" s="29" t="n">
        <f aca="false">IF(OR($C8="",$D8=""),"",IF(AND(AY$3&lt;=$D8,AY$3+6&gt;=$C8),IF(AND($D8&gt;=AY$3,$D8&lt;=AY$3+6),2,1),""))</f>
        <v>1</v>
      </c>
      <c r="AZ8" s="29" t="n">
        <f aca="false">IF(OR($C8="",$D8=""),"",IF(AND(AZ$3&lt;=$D8,AZ$3+6&gt;=$C8),IF(AND($D8&gt;=AZ$3,$D8&lt;=AZ$3+6),2,1),""))</f>
        <v>1</v>
      </c>
      <c r="BA8" s="29" t="n">
        <f aca="false">IF(OR($C8="",$D8=""),"",IF(AND(BA$3&lt;=$D8,BA$3+6&gt;=$C8),IF(AND($D8&gt;=BA$3,$D8&lt;=BA$3+6),2,1),""))</f>
        <v>1</v>
      </c>
      <c r="BB8" s="29" t="n">
        <f aca="false">IF(OR($C8="",$D8=""),"",IF(AND(BB$3&lt;=$D8,BB$3+6&gt;=$C8),IF(AND($D8&gt;=BB$3,$D8&lt;=BB$3+6),2,1),""))</f>
        <v>1</v>
      </c>
      <c r="BC8" s="29" t="n">
        <f aca="false">IF(OR($C8="",$D8=""),"",IF(AND(BC$3&lt;=$D8,BC$3+6&gt;=$C8),IF(AND($D8&gt;=BC$3,$D8&lt;=BC$3+6),2,1),""))</f>
        <v>1</v>
      </c>
      <c r="BD8" s="29" t="n">
        <f aca="false">IF(OR($C8="",$D8=""),"",IF(AND(BD$3&lt;=$D8,BD$3+6&gt;=$C8),IF(AND($D8&gt;=BD$3,$D8&lt;=BD$3+6),2,1),""))</f>
        <v>1</v>
      </c>
      <c r="BE8" s="29" t="n">
        <f aca="false">IF(OR($C8="",$D8=""),"",IF(AND(BE$3&lt;=$D8,BE$3+6&gt;=$C8),IF(AND($D8&gt;=BE$3,$D8&lt;=BE$3+6),2,1),""))</f>
        <v>2</v>
      </c>
      <c r="BF8" s="29" t="str">
        <f aca="false">IF(OR($C8="",$D8=""),"",IF(AND(BF$3&lt;=$D8,BF$3+6&gt;=$C8),IF(AND($D8&gt;=BF$3,$D8&lt;=BF$3+6),2,1),""))</f>
        <v/>
      </c>
    </row>
    <row r="9" customFormat="false" ht="15" hidden="false" customHeight="true" outlineLevel="0" collapsed="false">
      <c r="A9" s="16" t="s">
        <v>92</v>
      </c>
      <c r="B9" s="27" t="str">
        <f aca="false">IFERROR(INDEX(Plan!$C$2:$C$400,MATCH($A9,Plan!$A$2:$A$400,0)),"")</f>
        <v>Inventory and consolidate existing agent efforts</v>
      </c>
      <c r="C9" s="28" t="n">
        <f aca="false">IFERROR(INDEX(Plan!$I$2:$I$400,MATCH($A9,Plan!$A$2:$A$400,0)),"")</f>
        <v>46321</v>
      </c>
      <c r="D9" s="28" t="n">
        <f aca="false">IFERROR(INDEX(Plan!$J$2:$J$400,MATCH($A9,Plan!$A$2:$A$400,0)),"")</f>
        <v>46332</v>
      </c>
      <c r="E9" s="29" t="n">
        <f aca="false">IF(OR($C9="",$D9=""),"",IF(AND(E$3&lt;=$D9,E$3+6&gt;=$C9),IF(AND($D9&gt;=E$3,$D9&lt;=E$3+6),2,1),""))</f>
        <v>1</v>
      </c>
      <c r="F9" s="29" t="n">
        <f aca="false">IF(OR($C9="",$D9=""),"",IF(AND(F$3&lt;=$D9,F$3+6&gt;=$C9),IF(AND($D9&gt;=F$3,$D9&lt;=F$3+6),2,1),""))</f>
        <v>2</v>
      </c>
      <c r="G9" s="29" t="str">
        <f aca="false">IF(OR($C9="",$D9=""),"",IF(AND(G$3&lt;=$D9,G$3+6&gt;=$C9),IF(AND($D9&gt;=G$3,$D9&lt;=G$3+6),2,1),""))</f>
        <v/>
      </c>
      <c r="H9" s="29" t="str">
        <f aca="false">IF(OR($C9="",$D9=""),"",IF(AND(H$3&lt;=$D9,H$3+6&gt;=$C9),IF(AND($D9&gt;=H$3,$D9&lt;=H$3+6),2,1),""))</f>
        <v/>
      </c>
      <c r="I9" s="29" t="str">
        <f aca="false">IF(OR($C9="",$D9=""),"",IF(AND(I$3&lt;=$D9,I$3+6&gt;=$C9),IF(AND($D9&gt;=I$3,$D9&lt;=I$3+6),2,1),""))</f>
        <v/>
      </c>
      <c r="J9" s="29" t="str">
        <f aca="false">IF(OR($C9="",$D9=""),"",IF(AND(J$3&lt;=$D9,J$3+6&gt;=$C9),IF(AND($D9&gt;=J$3,$D9&lt;=J$3+6),2,1),""))</f>
        <v/>
      </c>
      <c r="K9" s="29" t="str">
        <f aca="false">IF(OR($C9="",$D9=""),"",IF(AND(K$3&lt;=$D9,K$3+6&gt;=$C9),IF(AND($D9&gt;=K$3,$D9&lt;=K$3+6),2,1),""))</f>
        <v/>
      </c>
      <c r="L9" s="29" t="str">
        <f aca="false">IF(OR($C9="",$D9=""),"",IF(AND(L$3&lt;=$D9,L$3+6&gt;=$C9),IF(AND($D9&gt;=L$3,$D9&lt;=L$3+6),2,1),""))</f>
        <v/>
      </c>
      <c r="M9" s="29" t="str">
        <f aca="false">IF(OR($C9="",$D9=""),"",IF(AND(M$3&lt;=$D9,M$3+6&gt;=$C9),IF(AND($D9&gt;=M$3,$D9&lt;=M$3+6),2,1),""))</f>
        <v/>
      </c>
      <c r="N9" s="29" t="str">
        <f aca="false">IF(OR($C9="",$D9=""),"",IF(AND(N$3&lt;=$D9,N$3+6&gt;=$C9),IF(AND($D9&gt;=N$3,$D9&lt;=N$3+6),2,1),""))</f>
        <v/>
      </c>
      <c r="O9" s="29" t="str">
        <f aca="false">IF(OR($C9="",$D9=""),"",IF(AND(O$3&lt;=$D9,O$3+6&gt;=$C9),IF(AND($D9&gt;=O$3,$D9&lt;=O$3+6),2,1),""))</f>
        <v/>
      </c>
      <c r="P9" s="29" t="str">
        <f aca="false">IF(OR($C9="",$D9=""),"",IF(AND(P$3&lt;=$D9,P$3+6&gt;=$C9),IF(AND($D9&gt;=P$3,$D9&lt;=P$3+6),2,1),""))</f>
        <v/>
      </c>
      <c r="Q9" s="29" t="str">
        <f aca="false">IF(OR($C9="",$D9=""),"",IF(AND(Q$3&lt;=$D9,Q$3+6&gt;=$C9),IF(AND($D9&gt;=Q$3,$D9&lt;=Q$3+6),2,1),""))</f>
        <v/>
      </c>
      <c r="R9" s="29" t="str">
        <f aca="false">IF(OR($C9="",$D9=""),"",IF(AND(R$3&lt;=$D9,R$3+6&gt;=$C9),IF(AND($D9&gt;=R$3,$D9&lt;=R$3+6),2,1),""))</f>
        <v/>
      </c>
      <c r="S9" s="29" t="str">
        <f aca="false">IF(OR($C9="",$D9=""),"",IF(AND(S$3&lt;=$D9,S$3+6&gt;=$C9),IF(AND($D9&gt;=S$3,$D9&lt;=S$3+6),2,1),""))</f>
        <v/>
      </c>
      <c r="T9" s="29" t="str">
        <f aca="false">IF(OR($C9="",$D9=""),"",IF(AND(T$3&lt;=$D9,T$3+6&gt;=$C9),IF(AND($D9&gt;=T$3,$D9&lt;=T$3+6),2,1),""))</f>
        <v/>
      </c>
      <c r="U9" s="29" t="str">
        <f aca="false">IF(OR($C9="",$D9=""),"",IF(AND(U$3&lt;=$D9,U$3+6&gt;=$C9),IF(AND($D9&gt;=U$3,$D9&lt;=U$3+6),2,1),""))</f>
        <v/>
      </c>
      <c r="V9" s="29" t="str">
        <f aca="false">IF(OR($C9="",$D9=""),"",IF(AND(V$3&lt;=$D9,V$3+6&gt;=$C9),IF(AND($D9&gt;=V$3,$D9&lt;=V$3+6),2,1),""))</f>
        <v/>
      </c>
      <c r="W9" s="29" t="str">
        <f aca="false">IF(OR($C9="",$D9=""),"",IF(AND(W$3&lt;=$D9,W$3+6&gt;=$C9),IF(AND($D9&gt;=W$3,$D9&lt;=W$3+6),2,1),""))</f>
        <v/>
      </c>
      <c r="X9" s="29" t="str">
        <f aca="false">IF(OR($C9="",$D9=""),"",IF(AND(X$3&lt;=$D9,X$3+6&gt;=$C9),IF(AND($D9&gt;=X$3,$D9&lt;=X$3+6),2,1),""))</f>
        <v/>
      </c>
      <c r="Y9" s="29" t="str">
        <f aca="false">IF(OR($C9="",$D9=""),"",IF(AND(Y$3&lt;=$D9,Y$3+6&gt;=$C9),IF(AND($D9&gt;=Y$3,$D9&lt;=Y$3+6),2,1),""))</f>
        <v/>
      </c>
      <c r="Z9" s="29" t="str">
        <f aca="false">IF(OR($C9="",$D9=""),"",IF(AND(Z$3&lt;=$D9,Z$3+6&gt;=$C9),IF(AND($D9&gt;=Z$3,$D9&lt;=Z$3+6),2,1),""))</f>
        <v/>
      </c>
      <c r="AA9" s="29" t="str">
        <f aca="false">IF(OR($C9="",$D9=""),"",IF(AND(AA$3&lt;=$D9,AA$3+6&gt;=$C9),IF(AND($D9&gt;=AA$3,$D9&lt;=AA$3+6),2,1),""))</f>
        <v/>
      </c>
      <c r="AB9" s="29" t="str">
        <f aca="false">IF(OR($C9="",$D9=""),"",IF(AND(AB$3&lt;=$D9,AB$3+6&gt;=$C9),IF(AND($D9&gt;=AB$3,$D9&lt;=AB$3+6),2,1),""))</f>
        <v/>
      </c>
      <c r="AC9" s="29" t="str">
        <f aca="false">IF(OR($C9="",$D9=""),"",IF(AND(AC$3&lt;=$D9,AC$3+6&gt;=$C9),IF(AND($D9&gt;=AC$3,$D9&lt;=AC$3+6),2,1),""))</f>
        <v/>
      </c>
      <c r="AD9" s="29" t="str">
        <f aca="false">IF(OR($C9="",$D9=""),"",IF(AND(AD$3&lt;=$D9,AD$3+6&gt;=$C9),IF(AND($D9&gt;=AD$3,$D9&lt;=AD$3+6),2,1),""))</f>
        <v/>
      </c>
      <c r="AE9" s="29" t="str">
        <f aca="false">IF(OR($C9="",$D9=""),"",IF(AND(AE$3&lt;=$D9,AE$3+6&gt;=$C9),IF(AND($D9&gt;=AE$3,$D9&lt;=AE$3+6),2,1),""))</f>
        <v/>
      </c>
      <c r="AF9" s="29" t="str">
        <f aca="false">IF(OR($C9="",$D9=""),"",IF(AND(AF$3&lt;=$D9,AF$3+6&gt;=$C9),IF(AND($D9&gt;=AF$3,$D9&lt;=AF$3+6),2,1),""))</f>
        <v/>
      </c>
      <c r="AG9" s="29" t="str">
        <f aca="false">IF(OR($C9="",$D9=""),"",IF(AND(AG$3&lt;=$D9,AG$3+6&gt;=$C9),IF(AND($D9&gt;=AG$3,$D9&lt;=AG$3+6),2,1),""))</f>
        <v/>
      </c>
      <c r="AH9" s="29" t="str">
        <f aca="false">IF(OR($C9="",$D9=""),"",IF(AND(AH$3&lt;=$D9,AH$3+6&gt;=$C9),IF(AND($D9&gt;=AH$3,$D9&lt;=AH$3+6),2,1),""))</f>
        <v/>
      </c>
      <c r="AI9" s="29" t="str">
        <f aca="false">IF(OR($C9="",$D9=""),"",IF(AND(AI$3&lt;=$D9,AI$3+6&gt;=$C9),IF(AND($D9&gt;=AI$3,$D9&lt;=AI$3+6),2,1),""))</f>
        <v/>
      </c>
      <c r="AJ9" s="29" t="str">
        <f aca="false">IF(OR($C9="",$D9=""),"",IF(AND(AJ$3&lt;=$D9,AJ$3+6&gt;=$C9),IF(AND($D9&gt;=AJ$3,$D9&lt;=AJ$3+6),2,1),""))</f>
        <v/>
      </c>
      <c r="AK9" s="29" t="str">
        <f aca="false">IF(OR($C9="",$D9=""),"",IF(AND(AK$3&lt;=$D9,AK$3+6&gt;=$C9),IF(AND($D9&gt;=AK$3,$D9&lt;=AK$3+6),2,1),""))</f>
        <v/>
      </c>
      <c r="AL9" s="29" t="str">
        <f aca="false">IF(OR($C9="",$D9=""),"",IF(AND(AL$3&lt;=$D9,AL$3+6&gt;=$C9),IF(AND($D9&gt;=AL$3,$D9&lt;=AL$3+6),2,1),""))</f>
        <v/>
      </c>
      <c r="AM9" s="29" t="str">
        <f aca="false">IF(OR($C9="",$D9=""),"",IF(AND(AM$3&lt;=$D9,AM$3+6&gt;=$C9),IF(AND($D9&gt;=AM$3,$D9&lt;=AM$3+6),2,1),""))</f>
        <v/>
      </c>
      <c r="AN9" s="29" t="str">
        <f aca="false">IF(OR($C9="",$D9=""),"",IF(AND(AN$3&lt;=$D9,AN$3+6&gt;=$C9),IF(AND($D9&gt;=AN$3,$D9&lt;=AN$3+6),2,1),""))</f>
        <v/>
      </c>
      <c r="AO9" s="29" t="str">
        <f aca="false">IF(OR($C9="",$D9=""),"",IF(AND(AO$3&lt;=$D9,AO$3+6&gt;=$C9),IF(AND($D9&gt;=AO$3,$D9&lt;=AO$3+6),2,1),""))</f>
        <v/>
      </c>
      <c r="AP9" s="29" t="str">
        <f aca="false">IF(OR($C9="",$D9=""),"",IF(AND(AP$3&lt;=$D9,AP$3+6&gt;=$C9),IF(AND($D9&gt;=AP$3,$D9&lt;=AP$3+6),2,1),""))</f>
        <v/>
      </c>
      <c r="AQ9" s="29" t="str">
        <f aca="false">IF(OR($C9="",$D9=""),"",IF(AND(AQ$3&lt;=$D9,AQ$3+6&gt;=$C9),IF(AND($D9&gt;=AQ$3,$D9&lt;=AQ$3+6),2,1),""))</f>
        <v/>
      </c>
      <c r="AR9" s="29" t="str">
        <f aca="false">IF(OR($C9="",$D9=""),"",IF(AND(AR$3&lt;=$D9,AR$3+6&gt;=$C9),IF(AND($D9&gt;=AR$3,$D9&lt;=AR$3+6),2,1),""))</f>
        <v/>
      </c>
      <c r="AS9" s="29" t="str">
        <f aca="false">IF(OR($C9="",$D9=""),"",IF(AND(AS$3&lt;=$D9,AS$3+6&gt;=$C9),IF(AND($D9&gt;=AS$3,$D9&lt;=AS$3+6),2,1),""))</f>
        <v/>
      </c>
      <c r="AT9" s="29" t="str">
        <f aca="false">IF(OR($C9="",$D9=""),"",IF(AND(AT$3&lt;=$D9,AT$3+6&gt;=$C9),IF(AND($D9&gt;=AT$3,$D9&lt;=AT$3+6),2,1),""))</f>
        <v/>
      </c>
      <c r="AU9" s="29" t="str">
        <f aca="false">IF(OR($C9="",$D9=""),"",IF(AND(AU$3&lt;=$D9,AU$3+6&gt;=$C9),IF(AND($D9&gt;=AU$3,$D9&lt;=AU$3+6),2,1),""))</f>
        <v/>
      </c>
      <c r="AV9" s="29" t="str">
        <f aca="false">IF(OR($C9="",$D9=""),"",IF(AND(AV$3&lt;=$D9,AV$3+6&gt;=$C9),IF(AND($D9&gt;=AV$3,$D9&lt;=AV$3+6),2,1),""))</f>
        <v/>
      </c>
      <c r="AW9" s="29" t="str">
        <f aca="false">IF(OR($C9="",$D9=""),"",IF(AND(AW$3&lt;=$D9,AW$3+6&gt;=$C9),IF(AND($D9&gt;=AW$3,$D9&lt;=AW$3+6),2,1),""))</f>
        <v/>
      </c>
      <c r="AX9" s="29" t="str">
        <f aca="false">IF(OR($C9="",$D9=""),"",IF(AND(AX$3&lt;=$D9,AX$3+6&gt;=$C9),IF(AND($D9&gt;=AX$3,$D9&lt;=AX$3+6),2,1),""))</f>
        <v/>
      </c>
      <c r="AY9" s="29" t="str">
        <f aca="false">IF(OR($C9="",$D9=""),"",IF(AND(AY$3&lt;=$D9,AY$3+6&gt;=$C9),IF(AND($D9&gt;=AY$3,$D9&lt;=AY$3+6),2,1),""))</f>
        <v/>
      </c>
      <c r="AZ9" s="29" t="str">
        <f aca="false">IF(OR($C9="",$D9=""),"",IF(AND(AZ$3&lt;=$D9,AZ$3+6&gt;=$C9),IF(AND($D9&gt;=AZ$3,$D9&lt;=AZ$3+6),2,1),""))</f>
        <v/>
      </c>
      <c r="BA9" s="29" t="str">
        <f aca="false">IF(OR($C9="",$D9=""),"",IF(AND(BA$3&lt;=$D9,BA$3+6&gt;=$C9),IF(AND($D9&gt;=BA$3,$D9&lt;=BA$3+6),2,1),""))</f>
        <v/>
      </c>
      <c r="BB9" s="29" t="str">
        <f aca="false">IF(OR($C9="",$D9=""),"",IF(AND(BB$3&lt;=$D9,BB$3+6&gt;=$C9),IF(AND($D9&gt;=BB$3,$D9&lt;=BB$3+6),2,1),""))</f>
        <v/>
      </c>
      <c r="BC9" s="29" t="str">
        <f aca="false">IF(OR($C9="",$D9=""),"",IF(AND(BC$3&lt;=$D9,BC$3+6&gt;=$C9),IF(AND($D9&gt;=BC$3,$D9&lt;=BC$3+6),2,1),""))</f>
        <v/>
      </c>
      <c r="BD9" s="29" t="str">
        <f aca="false">IF(OR($C9="",$D9=""),"",IF(AND(BD$3&lt;=$D9,BD$3+6&gt;=$C9),IF(AND($D9&gt;=BD$3,$D9&lt;=BD$3+6),2,1),""))</f>
        <v/>
      </c>
      <c r="BE9" s="29" t="str">
        <f aca="false">IF(OR($C9="",$D9=""),"",IF(AND(BE$3&lt;=$D9,BE$3+6&gt;=$C9),IF(AND($D9&gt;=BE$3,$D9&lt;=BE$3+6),2,1),""))</f>
        <v/>
      </c>
      <c r="BF9" s="29" t="str">
        <f aca="false">IF(OR($C9="",$D9=""),"",IF(AND(BF$3&lt;=$D9,BF$3+6&gt;=$C9),IF(AND($D9&gt;=BF$3,$D9&lt;=BF$3+6),2,1),""))</f>
        <v/>
      </c>
    </row>
    <row r="10" customFormat="false" ht="15" hidden="false" customHeight="true" outlineLevel="0" collapsed="false">
      <c r="A10" s="16" t="s">
        <v>98</v>
      </c>
      <c r="B10" s="27" t="str">
        <f aca="false">IFERROR(INDEX(Plan!$C$2:$C$400,MATCH($A10,Plan!$A$2:$A$400,0)),"")</f>
        <v>Lead focus and working arrangement</v>
      </c>
      <c r="C10" s="28" t="n">
        <f aca="false">IFERROR(INDEX(Plan!$I$2:$I$400,MATCH($A10,Plan!$A$2:$A$400,0)),"")</f>
        <v>46321</v>
      </c>
      <c r="D10" s="28" t="n">
        <f aca="false">IFERROR(INDEX(Plan!$J$2:$J$400,MATCH($A10,Plan!$A$2:$A$400,0)),"")</f>
        <v>46325</v>
      </c>
      <c r="E10" s="29" t="n">
        <f aca="false">IF(OR($C10="",$D10=""),"",IF(AND(E$3&lt;=$D10,E$3+6&gt;=$C10),IF(AND($D10&gt;=E$3,$D10&lt;=E$3+6),2,1),""))</f>
        <v>2</v>
      </c>
      <c r="F10" s="29" t="str">
        <f aca="false">IF(OR($C10="",$D10=""),"",IF(AND(F$3&lt;=$D10,F$3+6&gt;=$C10),IF(AND($D10&gt;=F$3,$D10&lt;=F$3+6),2,1),""))</f>
        <v/>
      </c>
      <c r="G10" s="29" t="str">
        <f aca="false">IF(OR($C10="",$D10=""),"",IF(AND(G$3&lt;=$D10,G$3+6&gt;=$C10),IF(AND($D10&gt;=G$3,$D10&lt;=G$3+6),2,1),""))</f>
        <v/>
      </c>
      <c r="H10" s="29" t="str">
        <f aca="false">IF(OR($C10="",$D10=""),"",IF(AND(H$3&lt;=$D10,H$3+6&gt;=$C10),IF(AND($D10&gt;=H$3,$D10&lt;=H$3+6),2,1),""))</f>
        <v/>
      </c>
      <c r="I10" s="29" t="str">
        <f aca="false">IF(OR($C10="",$D10=""),"",IF(AND(I$3&lt;=$D10,I$3+6&gt;=$C10),IF(AND($D10&gt;=I$3,$D10&lt;=I$3+6),2,1),""))</f>
        <v/>
      </c>
      <c r="J10" s="29" t="str">
        <f aca="false">IF(OR($C10="",$D10=""),"",IF(AND(J$3&lt;=$D10,J$3+6&gt;=$C10),IF(AND($D10&gt;=J$3,$D10&lt;=J$3+6),2,1),""))</f>
        <v/>
      </c>
      <c r="K10" s="29" t="str">
        <f aca="false">IF(OR($C10="",$D10=""),"",IF(AND(K$3&lt;=$D10,K$3+6&gt;=$C10),IF(AND($D10&gt;=K$3,$D10&lt;=K$3+6),2,1),""))</f>
        <v/>
      </c>
      <c r="L10" s="29" t="str">
        <f aca="false">IF(OR($C10="",$D10=""),"",IF(AND(L$3&lt;=$D10,L$3+6&gt;=$C10),IF(AND($D10&gt;=L$3,$D10&lt;=L$3+6),2,1),""))</f>
        <v/>
      </c>
      <c r="M10" s="29" t="str">
        <f aca="false">IF(OR($C10="",$D10=""),"",IF(AND(M$3&lt;=$D10,M$3+6&gt;=$C10),IF(AND($D10&gt;=M$3,$D10&lt;=M$3+6),2,1),""))</f>
        <v/>
      </c>
      <c r="N10" s="29" t="str">
        <f aca="false">IF(OR($C10="",$D10=""),"",IF(AND(N$3&lt;=$D10,N$3+6&gt;=$C10),IF(AND($D10&gt;=N$3,$D10&lt;=N$3+6),2,1),""))</f>
        <v/>
      </c>
      <c r="O10" s="29" t="str">
        <f aca="false">IF(OR($C10="",$D10=""),"",IF(AND(O$3&lt;=$D10,O$3+6&gt;=$C10),IF(AND($D10&gt;=O$3,$D10&lt;=O$3+6),2,1),""))</f>
        <v/>
      </c>
      <c r="P10" s="29" t="str">
        <f aca="false">IF(OR($C10="",$D10=""),"",IF(AND(P$3&lt;=$D10,P$3+6&gt;=$C10),IF(AND($D10&gt;=P$3,$D10&lt;=P$3+6),2,1),""))</f>
        <v/>
      </c>
      <c r="Q10" s="29" t="str">
        <f aca="false">IF(OR($C10="",$D10=""),"",IF(AND(Q$3&lt;=$D10,Q$3+6&gt;=$C10),IF(AND($D10&gt;=Q$3,$D10&lt;=Q$3+6),2,1),""))</f>
        <v/>
      </c>
      <c r="R10" s="29" t="str">
        <f aca="false">IF(OR($C10="",$D10=""),"",IF(AND(R$3&lt;=$D10,R$3+6&gt;=$C10),IF(AND($D10&gt;=R$3,$D10&lt;=R$3+6),2,1),""))</f>
        <v/>
      </c>
      <c r="S10" s="29" t="str">
        <f aca="false">IF(OR($C10="",$D10=""),"",IF(AND(S$3&lt;=$D10,S$3+6&gt;=$C10),IF(AND($D10&gt;=S$3,$D10&lt;=S$3+6),2,1),""))</f>
        <v/>
      </c>
      <c r="T10" s="29" t="str">
        <f aca="false">IF(OR($C10="",$D10=""),"",IF(AND(T$3&lt;=$D10,T$3+6&gt;=$C10),IF(AND($D10&gt;=T$3,$D10&lt;=T$3+6),2,1),""))</f>
        <v/>
      </c>
      <c r="U10" s="29" t="str">
        <f aca="false">IF(OR($C10="",$D10=""),"",IF(AND(U$3&lt;=$D10,U$3+6&gt;=$C10),IF(AND($D10&gt;=U$3,$D10&lt;=U$3+6),2,1),""))</f>
        <v/>
      </c>
      <c r="V10" s="29" t="str">
        <f aca="false">IF(OR($C10="",$D10=""),"",IF(AND(V$3&lt;=$D10,V$3+6&gt;=$C10),IF(AND($D10&gt;=V$3,$D10&lt;=V$3+6),2,1),""))</f>
        <v/>
      </c>
      <c r="W10" s="29" t="str">
        <f aca="false">IF(OR($C10="",$D10=""),"",IF(AND(W$3&lt;=$D10,W$3+6&gt;=$C10),IF(AND($D10&gt;=W$3,$D10&lt;=W$3+6),2,1),""))</f>
        <v/>
      </c>
      <c r="X10" s="29" t="str">
        <f aca="false">IF(OR($C10="",$D10=""),"",IF(AND(X$3&lt;=$D10,X$3+6&gt;=$C10),IF(AND($D10&gt;=X$3,$D10&lt;=X$3+6),2,1),""))</f>
        <v/>
      </c>
      <c r="Y10" s="29" t="str">
        <f aca="false">IF(OR($C10="",$D10=""),"",IF(AND(Y$3&lt;=$D10,Y$3+6&gt;=$C10),IF(AND($D10&gt;=Y$3,$D10&lt;=Y$3+6),2,1),""))</f>
        <v/>
      </c>
      <c r="Z10" s="29" t="str">
        <f aca="false">IF(OR($C10="",$D10=""),"",IF(AND(Z$3&lt;=$D10,Z$3+6&gt;=$C10),IF(AND($D10&gt;=Z$3,$D10&lt;=Z$3+6),2,1),""))</f>
        <v/>
      </c>
      <c r="AA10" s="29" t="str">
        <f aca="false">IF(OR($C10="",$D10=""),"",IF(AND(AA$3&lt;=$D10,AA$3+6&gt;=$C10),IF(AND($D10&gt;=AA$3,$D10&lt;=AA$3+6),2,1),""))</f>
        <v/>
      </c>
      <c r="AB10" s="29" t="str">
        <f aca="false">IF(OR($C10="",$D10=""),"",IF(AND(AB$3&lt;=$D10,AB$3+6&gt;=$C10),IF(AND($D10&gt;=AB$3,$D10&lt;=AB$3+6),2,1),""))</f>
        <v/>
      </c>
      <c r="AC10" s="29" t="str">
        <f aca="false">IF(OR($C10="",$D10=""),"",IF(AND(AC$3&lt;=$D10,AC$3+6&gt;=$C10),IF(AND($D10&gt;=AC$3,$D10&lt;=AC$3+6),2,1),""))</f>
        <v/>
      </c>
      <c r="AD10" s="29" t="str">
        <f aca="false">IF(OR($C10="",$D10=""),"",IF(AND(AD$3&lt;=$D10,AD$3+6&gt;=$C10),IF(AND($D10&gt;=AD$3,$D10&lt;=AD$3+6),2,1),""))</f>
        <v/>
      </c>
      <c r="AE10" s="29" t="str">
        <f aca="false">IF(OR($C10="",$D10=""),"",IF(AND(AE$3&lt;=$D10,AE$3+6&gt;=$C10),IF(AND($D10&gt;=AE$3,$D10&lt;=AE$3+6),2,1),""))</f>
        <v/>
      </c>
      <c r="AF10" s="29" t="str">
        <f aca="false">IF(OR($C10="",$D10=""),"",IF(AND(AF$3&lt;=$D10,AF$3+6&gt;=$C10),IF(AND($D10&gt;=AF$3,$D10&lt;=AF$3+6),2,1),""))</f>
        <v/>
      </c>
      <c r="AG10" s="29" t="str">
        <f aca="false">IF(OR($C10="",$D10=""),"",IF(AND(AG$3&lt;=$D10,AG$3+6&gt;=$C10),IF(AND($D10&gt;=AG$3,$D10&lt;=AG$3+6),2,1),""))</f>
        <v/>
      </c>
      <c r="AH10" s="29" t="str">
        <f aca="false">IF(OR($C10="",$D10=""),"",IF(AND(AH$3&lt;=$D10,AH$3+6&gt;=$C10),IF(AND($D10&gt;=AH$3,$D10&lt;=AH$3+6),2,1),""))</f>
        <v/>
      </c>
      <c r="AI10" s="29" t="str">
        <f aca="false">IF(OR($C10="",$D10=""),"",IF(AND(AI$3&lt;=$D10,AI$3+6&gt;=$C10),IF(AND($D10&gt;=AI$3,$D10&lt;=AI$3+6),2,1),""))</f>
        <v/>
      </c>
      <c r="AJ10" s="29" t="str">
        <f aca="false">IF(OR($C10="",$D10=""),"",IF(AND(AJ$3&lt;=$D10,AJ$3+6&gt;=$C10),IF(AND($D10&gt;=AJ$3,$D10&lt;=AJ$3+6),2,1),""))</f>
        <v/>
      </c>
      <c r="AK10" s="29" t="str">
        <f aca="false">IF(OR($C10="",$D10=""),"",IF(AND(AK$3&lt;=$D10,AK$3+6&gt;=$C10),IF(AND($D10&gt;=AK$3,$D10&lt;=AK$3+6),2,1),""))</f>
        <v/>
      </c>
      <c r="AL10" s="29" t="str">
        <f aca="false">IF(OR($C10="",$D10=""),"",IF(AND(AL$3&lt;=$D10,AL$3+6&gt;=$C10),IF(AND($D10&gt;=AL$3,$D10&lt;=AL$3+6),2,1),""))</f>
        <v/>
      </c>
      <c r="AM10" s="29" t="str">
        <f aca="false">IF(OR($C10="",$D10=""),"",IF(AND(AM$3&lt;=$D10,AM$3+6&gt;=$C10),IF(AND($D10&gt;=AM$3,$D10&lt;=AM$3+6),2,1),""))</f>
        <v/>
      </c>
      <c r="AN10" s="29" t="str">
        <f aca="false">IF(OR($C10="",$D10=""),"",IF(AND(AN$3&lt;=$D10,AN$3+6&gt;=$C10),IF(AND($D10&gt;=AN$3,$D10&lt;=AN$3+6),2,1),""))</f>
        <v/>
      </c>
      <c r="AO10" s="29" t="str">
        <f aca="false">IF(OR($C10="",$D10=""),"",IF(AND(AO$3&lt;=$D10,AO$3+6&gt;=$C10),IF(AND($D10&gt;=AO$3,$D10&lt;=AO$3+6),2,1),""))</f>
        <v/>
      </c>
      <c r="AP10" s="29" t="str">
        <f aca="false">IF(OR($C10="",$D10=""),"",IF(AND(AP$3&lt;=$D10,AP$3+6&gt;=$C10),IF(AND($D10&gt;=AP$3,$D10&lt;=AP$3+6),2,1),""))</f>
        <v/>
      </c>
      <c r="AQ10" s="29" t="str">
        <f aca="false">IF(OR($C10="",$D10=""),"",IF(AND(AQ$3&lt;=$D10,AQ$3+6&gt;=$C10),IF(AND($D10&gt;=AQ$3,$D10&lt;=AQ$3+6),2,1),""))</f>
        <v/>
      </c>
      <c r="AR10" s="29" t="str">
        <f aca="false">IF(OR($C10="",$D10=""),"",IF(AND(AR$3&lt;=$D10,AR$3+6&gt;=$C10),IF(AND($D10&gt;=AR$3,$D10&lt;=AR$3+6),2,1),""))</f>
        <v/>
      </c>
      <c r="AS10" s="29" t="str">
        <f aca="false">IF(OR($C10="",$D10=""),"",IF(AND(AS$3&lt;=$D10,AS$3+6&gt;=$C10),IF(AND($D10&gt;=AS$3,$D10&lt;=AS$3+6),2,1),""))</f>
        <v/>
      </c>
      <c r="AT10" s="29" t="str">
        <f aca="false">IF(OR($C10="",$D10=""),"",IF(AND(AT$3&lt;=$D10,AT$3+6&gt;=$C10),IF(AND($D10&gt;=AT$3,$D10&lt;=AT$3+6),2,1),""))</f>
        <v/>
      </c>
      <c r="AU10" s="29" t="str">
        <f aca="false">IF(OR($C10="",$D10=""),"",IF(AND(AU$3&lt;=$D10,AU$3+6&gt;=$C10),IF(AND($D10&gt;=AU$3,$D10&lt;=AU$3+6),2,1),""))</f>
        <v/>
      </c>
      <c r="AV10" s="29" t="str">
        <f aca="false">IF(OR($C10="",$D10=""),"",IF(AND(AV$3&lt;=$D10,AV$3+6&gt;=$C10),IF(AND($D10&gt;=AV$3,$D10&lt;=AV$3+6),2,1),""))</f>
        <v/>
      </c>
      <c r="AW10" s="29" t="str">
        <f aca="false">IF(OR($C10="",$D10=""),"",IF(AND(AW$3&lt;=$D10,AW$3+6&gt;=$C10),IF(AND($D10&gt;=AW$3,$D10&lt;=AW$3+6),2,1),""))</f>
        <v/>
      </c>
      <c r="AX10" s="29" t="str">
        <f aca="false">IF(OR($C10="",$D10=""),"",IF(AND(AX$3&lt;=$D10,AX$3+6&gt;=$C10),IF(AND($D10&gt;=AX$3,$D10&lt;=AX$3+6),2,1),""))</f>
        <v/>
      </c>
      <c r="AY10" s="29" t="str">
        <f aca="false">IF(OR($C10="",$D10=""),"",IF(AND(AY$3&lt;=$D10,AY$3+6&gt;=$C10),IF(AND($D10&gt;=AY$3,$D10&lt;=AY$3+6),2,1),""))</f>
        <v/>
      </c>
      <c r="AZ10" s="29" t="str">
        <f aca="false">IF(OR($C10="",$D10=""),"",IF(AND(AZ$3&lt;=$D10,AZ$3+6&gt;=$C10),IF(AND($D10&gt;=AZ$3,$D10&lt;=AZ$3+6),2,1),""))</f>
        <v/>
      </c>
      <c r="BA10" s="29" t="str">
        <f aca="false">IF(OR($C10="",$D10=""),"",IF(AND(BA$3&lt;=$D10,BA$3+6&gt;=$C10),IF(AND($D10&gt;=BA$3,$D10&lt;=BA$3+6),2,1),""))</f>
        <v/>
      </c>
      <c r="BB10" s="29" t="str">
        <f aca="false">IF(OR($C10="",$D10=""),"",IF(AND(BB$3&lt;=$D10,BB$3+6&gt;=$C10),IF(AND($D10&gt;=BB$3,$D10&lt;=BB$3+6),2,1),""))</f>
        <v/>
      </c>
      <c r="BC10" s="29" t="str">
        <f aca="false">IF(OR($C10="",$D10=""),"",IF(AND(BC$3&lt;=$D10,BC$3+6&gt;=$C10),IF(AND($D10&gt;=BC$3,$D10&lt;=BC$3+6),2,1),""))</f>
        <v/>
      </c>
      <c r="BD10" s="29" t="str">
        <f aca="false">IF(OR($C10="",$D10=""),"",IF(AND(BD$3&lt;=$D10,BD$3+6&gt;=$C10),IF(AND($D10&gt;=BD$3,$D10&lt;=BD$3+6),2,1),""))</f>
        <v/>
      </c>
      <c r="BE10" s="29" t="str">
        <f aca="false">IF(OR($C10="",$D10=""),"",IF(AND(BE$3&lt;=$D10,BE$3+6&gt;=$C10),IF(AND($D10&gt;=BE$3,$D10&lt;=BE$3+6),2,1),""))</f>
        <v/>
      </c>
      <c r="BF10" s="29" t="str">
        <f aca="false">IF(OR($C10="",$D10=""),"",IF(AND(BF$3&lt;=$D10,BF$3+6&gt;=$C10),IF(AND($D10&gt;=BF$3,$D10&lt;=BF$3+6),2,1),""))</f>
        <v/>
      </c>
    </row>
    <row r="11" customFormat="false" ht="15" hidden="false" customHeight="true" outlineLevel="0" collapsed="false">
      <c r="A11" s="16" t="s">
        <v>105</v>
      </c>
      <c r="B11" s="27" t="str">
        <f aca="false">IFERROR(INDEX(Plan!$C$2:$C$400,MATCH($A11,Plan!$A$2:$A$400,0)),"")</f>
        <v>Industry evidence pack</v>
      </c>
      <c r="C11" s="28" t="n">
        <f aca="false">IFERROR(INDEX(Plan!$I$2:$I$400,MATCH($A11,Plan!$A$2:$A$400,0)),"")</f>
        <v>46321</v>
      </c>
      <c r="D11" s="28" t="n">
        <f aca="false">IFERROR(INDEX(Plan!$J$2:$J$400,MATCH($A11,Plan!$A$2:$A$400,0)),"")</f>
        <v>46332</v>
      </c>
      <c r="E11" s="29" t="n">
        <f aca="false">IF(OR($C11="",$D11=""),"",IF(AND(E$3&lt;=$D11,E$3+6&gt;=$C11),IF(AND($D11&gt;=E$3,$D11&lt;=E$3+6),2,1),""))</f>
        <v>1</v>
      </c>
      <c r="F11" s="29" t="n">
        <f aca="false">IF(OR($C11="",$D11=""),"",IF(AND(F$3&lt;=$D11,F$3+6&gt;=$C11),IF(AND($D11&gt;=F$3,$D11&lt;=F$3+6),2,1),""))</f>
        <v>2</v>
      </c>
      <c r="G11" s="29" t="str">
        <f aca="false">IF(OR($C11="",$D11=""),"",IF(AND(G$3&lt;=$D11,G$3+6&gt;=$C11),IF(AND($D11&gt;=G$3,$D11&lt;=G$3+6),2,1),""))</f>
        <v/>
      </c>
      <c r="H11" s="29" t="str">
        <f aca="false">IF(OR($C11="",$D11=""),"",IF(AND(H$3&lt;=$D11,H$3+6&gt;=$C11),IF(AND($D11&gt;=H$3,$D11&lt;=H$3+6),2,1),""))</f>
        <v/>
      </c>
      <c r="I11" s="29" t="str">
        <f aca="false">IF(OR($C11="",$D11=""),"",IF(AND(I$3&lt;=$D11,I$3+6&gt;=$C11),IF(AND($D11&gt;=I$3,$D11&lt;=I$3+6),2,1),""))</f>
        <v/>
      </c>
      <c r="J11" s="29" t="str">
        <f aca="false">IF(OR($C11="",$D11=""),"",IF(AND(J$3&lt;=$D11,J$3+6&gt;=$C11),IF(AND($D11&gt;=J$3,$D11&lt;=J$3+6),2,1),""))</f>
        <v/>
      </c>
      <c r="K11" s="29" t="str">
        <f aca="false">IF(OR($C11="",$D11=""),"",IF(AND(K$3&lt;=$D11,K$3+6&gt;=$C11),IF(AND($D11&gt;=K$3,$D11&lt;=K$3+6),2,1),""))</f>
        <v/>
      </c>
      <c r="L11" s="29" t="str">
        <f aca="false">IF(OR($C11="",$D11=""),"",IF(AND(L$3&lt;=$D11,L$3+6&gt;=$C11),IF(AND($D11&gt;=L$3,$D11&lt;=L$3+6),2,1),""))</f>
        <v/>
      </c>
      <c r="M11" s="29" t="str">
        <f aca="false">IF(OR($C11="",$D11=""),"",IF(AND(M$3&lt;=$D11,M$3+6&gt;=$C11),IF(AND($D11&gt;=M$3,$D11&lt;=M$3+6),2,1),""))</f>
        <v/>
      </c>
      <c r="N11" s="29" t="str">
        <f aca="false">IF(OR($C11="",$D11=""),"",IF(AND(N$3&lt;=$D11,N$3+6&gt;=$C11),IF(AND($D11&gt;=N$3,$D11&lt;=N$3+6),2,1),""))</f>
        <v/>
      </c>
      <c r="O11" s="29" t="str">
        <f aca="false">IF(OR($C11="",$D11=""),"",IF(AND(O$3&lt;=$D11,O$3+6&gt;=$C11),IF(AND($D11&gt;=O$3,$D11&lt;=O$3+6),2,1),""))</f>
        <v/>
      </c>
      <c r="P11" s="29" t="str">
        <f aca="false">IF(OR($C11="",$D11=""),"",IF(AND(P$3&lt;=$D11,P$3+6&gt;=$C11),IF(AND($D11&gt;=P$3,$D11&lt;=P$3+6),2,1),""))</f>
        <v/>
      </c>
      <c r="Q11" s="29" t="str">
        <f aca="false">IF(OR($C11="",$D11=""),"",IF(AND(Q$3&lt;=$D11,Q$3+6&gt;=$C11),IF(AND($D11&gt;=Q$3,$D11&lt;=Q$3+6),2,1),""))</f>
        <v/>
      </c>
      <c r="R11" s="29" t="str">
        <f aca="false">IF(OR($C11="",$D11=""),"",IF(AND(R$3&lt;=$D11,R$3+6&gt;=$C11),IF(AND($D11&gt;=R$3,$D11&lt;=R$3+6),2,1),""))</f>
        <v/>
      </c>
      <c r="S11" s="29" t="str">
        <f aca="false">IF(OR($C11="",$D11=""),"",IF(AND(S$3&lt;=$D11,S$3+6&gt;=$C11),IF(AND($D11&gt;=S$3,$D11&lt;=S$3+6),2,1),""))</f>
        <v/>
      </c>
      <c r="T11" s="29" t="str">
        <f aca="false">IF(OR($C11="",$D11=""),"",IF(AND(T$3&lt;=$D11,T$3+6&gt;=$C11),IF(AND($D11&gt;=T$3,$D11&lt;=T$3+6),2,1),""))</f>
        <v/>
      </c>
      <c r="U11" s="29" t="str">
        <f aca="false">IF(OR($C11="",$D11=""),"",IF(AND(U$3&lt;=$D11,U$3+6&gt;=$C11),IF(AND($D11&gt;=U$3,$D11&lt;=U$3+6),2,1),""))</f>
        <v/>
      </c>
      <c r="V11" s="29" t="str">
        <f aca="false">IF(OR($C11="",$D11=""),"",IF(AND(V$3&lt;=$D11,V$3+6&gt;=$C11),IF(AND($D11&gt;=V$3,$D11&lt;=V$3+6),2,1),""))</f>
        <v/>
      </c>
      <c r="W11" s="29" t="str">
        <f aca="false">IF(OR($C11="",$D11=""),"",IF(AND(W$3&lt;=$D11,W$3+6&gt;=$C11),IF(AND($D11&gt;=W$3,$D11&lt;=W$3+6),2,1),""))</f>
        <v/>
      </c>
      <c r="X11" s="29" t="str">
        <f aca="false">IF(OR($C11="",$D11=""),"",IF(AND(X$3&lt;=$D11,X$3+6&gt;=$C11),IF(AND($D11&gt;=X$3,$D11&lt;=X$3+6),2,1),""))</f>
        <v/>
      </c>
      <c r="Y11" s="29" t="str">
        <f aca="false">IF(OR($C11="",$D11=""),"",IF(AND(Y$3&lt;=$D11,Y$3+6&gt;=$C11),IF(AND($D11&gt;=Y$3,$D11&lt;=Y$3+6),2,1),""))</f>
        <v/>
      </c>
      <c r="Z11" s="29" t="str">
        <f aca="false">IF(OR($C11="",$D11=""),"",IF(AND(Z$3&lt;=$D11,Z$3+6&gt;=$C11),IF(AND($D11&gt;=Z$3,$D11&lt;=Z$3+6),2,1),""))</f>
        <v/>
      </c>
      <c r="AA11" s="29" t="str">
        <f aca="false">IF(OR($C11="",$D11=""),"",IF(AND(AA$3&lt;=$D11,AA$3+6&gt;=$C11),IF(AND($D11&gt;=AA$3,$D11&lt;=AA$3+6),2,1),""))</f>
        <v/>
      </c>
      <c r="AB11" s="29" t="str">
        <f aca="false">IF(OR($C11="",$D11=""),"",IF(AND(AB$3&lt;=$D11,AB$3+6&gt;=$C11),IF(AND($D11&gt;=AB$3,$D11&lt;=AB$3+6),2,1),""))</f>
        <v/>
      </c>
      <c r="AC11" s="29" t="str">
        <f aca="false">IF(OR($C11="",$D11=""),"",IF(AND(AC$3&lt;=$D11,AC$3+6&gt;=$C11),IF(AND($D11&gt;=AC$3,$D11&lt;=AC$3+6),2,1),""))</f>
        <v/>
      </c>
      <c r="AD11" s="29" t="str">
        <f aca="false">IF(OR($C11="",$D11=""),"",IF(AND(AD$3&lt;=$D11,AD$3+6&gt;=$C11),IF(AND($D11&gt;=AD$3,$D11&lt;=AD$3+6),2,1),""))</f>
        <v/>
      </c>
      <c r="AE11" s="29" t="str">
        <f aca="false">IF(OR($C11="",$D11=""),"",IF(AND(AE$3&lt;=$D11,AE$3+6&gt;=$C11),IF(AND($D11&gt;=AE$3,$D11&lt;=AE$3+6),2,1),""))</f>
        <v/>
      </c>
      <c r="AF11" s="29" t="str">
        <f aca="false">IF(OR($C11="",$D11=""),"",IF(AND(AF$3&lt;=$D11,AF$3+6&gt;=$C11),IF(AND($D11&gt;=AF$3,$D11&lt;=AF$3+6),2,1),""))</f>
        <v/>
      </c>
      <c r="AG11" s="29" t="str">
        <f aca="false">IF(OR($C11="",$D11=""),"",IF(AND(AG$3&lt;=$D11,AG$3+6&gt;=$C11),IF(AND($D11&gt;=AG$3,$D11&lt;=AG$3+6),2,1),""))</f>
        <v/>
      </c>
      <c r="AH11" s="29" t="str">
        <f aca="false">IF(OR($C11="",$D11=""),"",IF(AND(AH$3&lt;=$D11,AH$3+6&gt;=$C11),IF(AND($D11&gt;=AH$3,$D11&lt;=AH$3+6),2,1),""))</f>
        <v/>
      </c>
      <c r="AI11" s="29" t="str">
        <f aca="false">IF(OR($C11="",$D11=""),"",IF(AND(AI$3&lt;=$D11,AI$3+6&gt;=$C11),IF(AND($D11&gt;=AI$3,$D11&lt;=AI$3+6),2,1),""))</f>
        <v/>
      </c>
      <c r="AJ11" s="29" t="str">
        <f aca="false">IF(OR($C11="",$D11=""),"",IF(AND(AJ$3&lt;=$D11,AJ$3+6&gt;=$C11),IF(AND($D11&gt;=AJ$3,$D11&lt;=AJ$3+6),2,1),""))</f>
        <v/>
      </c>
      <c r="AK11" s="29" t="str">
        <f aca="false">IF(OR($C11="",$D11=""),"",IF(AND(AK$3&lt;=$D11,AK$3+6&gt;=$C11),IF(AND($D11&gt;=AK$3,$D11&lt;=AK$3+6),2,1),""))</f>
        <v/>
      </c>
      <c r="AL11" s="29" t="str">
        <f aca="false">IF(OR($C11="",$D11=""),"",IF(AND(AL$3&lt;=$D11,AL$3+6&gt;=$C11),IF(AND($D11&gt;=AL$3,$D11&lt;=AL$3+6),2,1),""))</f>
        <v/>
      </c>
      <c r="AM11" s="29" t="str">
        <f aca="false">IF(OR($C11="",$D11=""),"",IF(AND(AM$3&lt;=$D11,AM$3+6&gt;=$C11),IF(AND($D11&gt;=AM$3,$D11&lt;=AM$3+6),2,1),""))</f>
        <v/>
      </c>
      <c r="AN11" s="29" t="str">
        <f aca="false">IF(OR($C11="",$D11=""),"",IF(AND(AN$3&lt;=$D11,AN$3+6&gt;=$C11),IF(AND($D11&gt;=AN$3,$D11&lt;=AN$3+6),2,1),""))</f>
        <v/>
      </c>
      <c r="AO11" s="29" t="str">
        <f aca="false">IF(OR($C11="",$D11=""),"",IF(AND(AO$3&lt;=$D11,AO$3+6&gt;=$C11),IF(AND($D11&gt;=AO$3,$D11&lt;=AO$3+6),2,1),""))</f>
        <v/>
      </c>
      <c r="AP11" s="29" t="str">
        <f aca="false">IF(OR($C11="",$D11=""),"",IF(AND(AP$3&lt;=$D11,AP$3+6&gt;=$C11),IF(AND($D11&gt;=AP$3,$D11&lt;=AP$3+6),2,1),""))</f>
        <v/>
      </c>
      <c r="AQ11" s="29" t="str">
        <f aca="false">IF(OR($C11="",$D11=""),"",IF(AND(AQ$3&lt;=$D11,AQ$3+6&gt;=$C11),IF(AND($D11&gt;=AQ$3,$D11&lt;=AQ$3+6),2,1),""))</f>
        <v/>
      </c>
      <c r="AR11" s="29" t="str">
        <f aca="false">IF(OR($C11="",$D11=""),"",IF(AND(AR$3&lt;=$D11,AR$3+6&gt;=$C11),IF(AND($D11&gt;=AR$3,$D11&lt;=AR$3+6),2,1),""))</f>
        <v/>
      </c>
      <c r="AS11" s="29" t="str">
        <f aca="false">IF(OR($C11="",$D11=""),"",IF(AND(AS$3&lt;=$D11,AS$3+6&gt;=$C11),IF(AND($D11&gt;=AS$3,$D11&lt;=AS$3+6),2,1),""))</f>
        <v/>
      </c>
      <c r="AT11" s="29" t="str">
        <f aca="false">IF(OR($C11="",$D11=""),"",IF(AND(AT$3&lt;=$D11,AT$3+6&gt;=$C11),IF(AND($D11&gt;=AT$3,$D11&lt;=AT$3+6),2,1),""))</f>
        <v/>
      </c>
      <c r="AU11" s="29" t="str">
        <f aca="false">IF(OR($C11="",$D11=""),"",IF(AND(AU$3&lt;=$D11,AU$3+6&gt;=$C11),IF(AND($D11&gt;=AU$3,$D11&lt;=AU$3+6),2,1),""))</f>
        <v/>
      </c>
      <c r="AV11" s="29" t="str">
        <f aca="false">IF(OR($C11="",$D11=""),"",IF(AND(AV$3&lt;=$D11,AV$3+6&gt;=$C11),IF(AND($D11&gt;=AV$3,$D11&lt;=AV$3+6),2,1),""))</f>
        <v/>
      </c>
      <c r="AW11" s="29" t="str">
        <f aca="false">IF(OR($C11="",$D11=""),"",IF(AND(AW$3&lt;=$D11,AW$3+6&gt;=$C11),IF(AND($D11&gt;=AW$3,$D11&lt;=AW$3+6),2,1),""))</f>
        <v/>
      </c>
      <c r="AX11" s="29" t="str">
        <f aca="false">IF(OR($C11="",$D11=""),"",IF(AND(AX$3&lt;=$D11,AX$3+6&gt;=$C11),IF(AND($D11&gt;=AX$3,$D11&lt;=AX$3+6),2,1),""))</f>
        <v/>
      </c>
      <c r="AY11" s="29" t="str">
        <f aca="false">IF(OR($C11="",$D11=""),"",IF(AND(AY$3&lt;=$D11,AY$3+6&gt;=$C11),IF(AND($D11&gt;=AY$3,$D11&lt;=AY$3+6),2,1),""))</f>
        <v/>
      </c>
      <c r="AZ11" s="29" t="str">
        <f aca="false">IF(OR($C11="",$D11=""),"",IF(AND(AZ$3&lt;=$D11,AZ$3+6&gt;=$C11),IF(AND($D11&gt;=AZ$3,$D11&lt;=AZ$3+6),2,1),""))</f>
        <v/>
      </c>
      <c r="BA11" s="29" t="str">
        <f aca="false">IF(OR($C11="",$D11=""),"",IF(AND(BA$3&lt;=$D11,BA$3+6&gt;=$C11),IF(AND($D11&gt;=BA$3,$D11&lt;=BA$3+6),2,1),""))</f>
        <v/>
      </c>
      <c r="BB11" s="29" t="str">
        <f aca="false">IF(OR($C11="",$D11=""),"",IF(AND(BB$3&lt;=$D11,BB$3+6&gt;=$C11),IF(AND($D11&gt;=BB$3,$D11&lt;=BB$3+6),2,1),""))</f>
        <v/>
      </c>
      <c r="BC11" s="29" t="str">
        <f aca="false">IF(OR($C11="",$D11=""),"",IF(AND(BC$3&lt;=$D11,BC$3+6&gt;=$C11),IF(AND($D11&gt;=BC$3,$D11&lt;=BC$3+6),2,1),""))</f>
        <v/>
      </c>
      <c r="BD11" s="29" t="str">
        <f aca="false">IF(OR($C11="",$D11=""),"",IF(AND(BD$3&lt;=$D11,BD$3+6&gt;=$C11),IF(AND($D11&gt;=BD$3,$D11&lt;=BD$3+6),2,1),""))</f>
        <v/>
      </c>
      <c r="BE11" s="29" t="str">
        <f aca="false">IF(OR($C11="",$D11=""),"",IF(AND(BE$3&lt;=$D11,BE$3+6&gt;=$C11),IF(AND($D11&gt;=BE$3,$D11&lt;=BE$3+6),2,1),""))</f>
        <v/>
      </c>
      <c r="BF11" s="29" t="str">
        <f aca="false">IF(OR($C11="",$D11=""),"",IF(AND(BF$3&lt;=$D11,BF$3+6&gt;=$C11),IF(AND($D11&gt;=BF$3,$D11&lt;=BF$3+6),2,1),""))</f>
        <v/>
      </c>
    </row>
    <row r="12" customFormat="false" ht="15" hidden="false" customHeight="true" outlineLevel="0" collapsed="false">
      <c r="A12" s="16" t="s">
        <v>111</v>
      </c>
      <c r="B12" s="27" t="str">
        <f aca="false">IFERROR(INDEX(Plan!$C$2:$C$400,MATCH($A12,Plan!$A$2:$A$400,0)),"")</f>
        <v>Align the strategy document</v>
      </c>
      <c r="C12" s="28" t="n">
        <f aca="false">IFERROR(INDEX(Plan!$I$2:$I$400,MATCH($A12,Plan!$A$2:$A$400,0)),"")</f>
        <v>46321</v>
      </c>
      <c r="D12" s="28" t="n">
        <f aca="false">IFERROR(INDEX(Plan!$J$2:$J$400,MATCH($A12,Plan!$A$2:$A$400,0)),"")</f>
        <v>46323</v>
      </c>
      <c r="E12" s="29" t="n">
        <f aca="false">IF(OR($C12="",$D12=""),"",IF(AND(E$3&lt;=$D12,E$3+6&gt;=$C12),IF(AND($D12&gt;=E$3,$D12&lt;=E$3+6),2,1),""))</f>
        <v>2</v>
      </c>
      <c r="F12" s="29" t="str">
        <f aca="false">IF(OR($C12="",$D12=""),"",IF(AND(F$3&lt;=$D12,F$3+6&gt;=$C12),IF(AND($D12&gt;=F$3,$D12&lt;=F$3+6),2,1),""))</f>
        <v/>
      </c>
      <c r="G12" s="29" t="str">
        <f aca="false">IF(OR($C12="",$D12=""),"",IF(AND(G$3&lt;=$D12,G$3+6&gt;=$C12),IF(AND($D12&gt;=G$3,$D12&lt;=G$3+6),2,1),""))</f>
        <v/>
      </c>
      <c r="H12" s="29" t="str">
        <f aca="false">IF(OR($C12="",$D12=""),"",IF(AND(H$3&lt;=$D12,H$3+6&gt;=$C12),IF(AND($D12&gt;=H$3,$D12&lt;=H$3+6),2,1),""))</f>
        <v/>
      </c>
      <c r="I12" s="29" t="str">
        <f aca="false">IF(OR($C12="",$D12=""),"",IF(AND(I$3&lt;=$D12,I$3+6&gt;=$C12),IF(AND($D12&gt;=I$3,$D12&lt;=I$3+6),2,1),""))</f>
        <v/>
      </c>
      <c r="J12" s="29" t="str">
        <f aca="false">IF(OR($C12="",$D12=""),"",IF(AND(J$3&lt;=$D12,J$3+6&gt;=$C12),IF(AND($D12&gt;=J$3,$D12&lt;=J$3+6),2,1),""))</f>
        <v/>
      </c>
      <c r="K12" s="29" t="str">
        <f aca="false">IF(OR($C12="",$D12=""),"",IF(AND(K$3&lt;=$D12,K$3+6&gt;=$C12),IF(AND($D12&gt;=K$3,$D12&lt;=K$3+6),2,1),""))</f>
        <v/>
      </c>
      <c r="L12" s="29" t="str">
        <f aca="false">IF(OR($C12="",$D12=""),"",IF(AND(L$3&lt;=$D12,L$3+6&gt;=$C12),IF(AND($D12&gt;=L$3,$D12&lt;=L$3+6),2,1),""))</f>
        <v/>
      </c>
      <c r="M12" s="29" t="str">
        <f aca="false">IF(OR($C12="",$D12=""),"",IF(AND(M$3&lt;=$D12,M$3+6&gt;=$C12),IF(AND($D12&gt;=M$3,$D12&lt;=M$3+6),2,1),""))</f>
        <v/>
      </c>
      <c r="N12" s="29" t="str">
        <f aca="false">IF(OR($C12="",$D12=""),"",IF(AND(N$3&lt;=$D12,N$3+6&gt;=$C12),IF(AND($D12&gt;=N$3,$D12&lt;=N$3+6),2,1),""))</f>
        <v/>
      </c>
      <c r="O12" s="29" t="str">
        <f aca="false">IF(OR($C12="",$D12=""),"",IF(AND(O$3&lt;=$D12,O$3+6&gt;=$C12),IF(AND($D12&gt;=O$3,$D12&lt;=O$3+6),2,1),""))</f>
        <v/>
      </c>
      <c r="P12" s="29" t="str">
        <f aca="false">IF(OR($C12="",$D12=""),"",IF(AND(P$3&lt;=$D12,P$3+6&gt;=$C12),IF(AND($D12&gt;=P$3,$D12&lt;=P$3+6),2,1),""))</f>
        <v/>
      </c>
      <c r="Q12" s="29" t="str">
        <f aca="false">IF(OR($C12="",$D12=""),"",IF(AND(Q$3&lt;=$D12,Q$3+6&gt;=$C12),IF(AND($D12&gt;=Q$3,$D12&lt;=Q$3+6),2,1),""))</f>
        <v/>
      </c>
      <c r="R12" s="29" t="str">
        <f aca="false">IF(OR($C12="",$D12=""),"",IF(AND(R$3&lt;=$D12,R$3+6&gt;=$C12),IF(AND($D12&gt;=R$3,$D12&lt;=R$3+6),2,1),""))</f>
        <v/>
      </c>
      <c r="S12" s="29" t="str">
        <f aca="false">IF(OR($C12="",$D12=""),"",IF(AND(S$3&lt;=$D12,S$3+6&gt;=$C12),IF(AND($D12&gt;=S$3,$D12&lt;=S$3+6),2,1),""))</f>
        <v/>
      </c>
      <c r="T12" s="29" t="str">
        <f aca="false">IF(OR($C12="",$D12=""),"",IF(AND(T$3&lt;=$D12,T$3+6&gt;=$C12),IF(AND($D12&gt;=T$3,$D12&lt;=T$3+6),2,1),""))</f>
        <v/>
      </c>
      <c r="U12" s="29" t="str">
        <f aca="false">IF(OR($C12="",$D12=""),"",IF(AND(U$3&lt;=$D12,U$3+6&gt;=$C12),IF(AND($D12&gt;=U$3,$D12&lt;=U$3+6),2,1),""))</f>
        <v/>
      </c>
      <c r="V12" s="29" t="str">
        <f aca="false">IF(OR($C12="",$D12=""),"",IF(AND(V$3&lt;=$D12,V$3+6&gt;=$C12),IF(AND($D12&gt;=V$3,$D12&lt;=V$3+6),2,1),""))</f>
        <v/>
      </c>
      <c r="W12" s="29" t="str">
        <f aca="false">IF(OR($C12="",$D12=""),"",IF(AND(W$3&lt;=$D12,W$3+6&gt;=$C12),IF(AND($D12&gt;=W$3,$D12&lt;=W$3+6),2,1),""))</f>
        <v/>
      </c>
      <c r="X12" s="29" t="str">
        <f aca="false">IF(OR($C12="",$D12=""),"",IF(AND(X$3&lt;=$D12,X$3+6&gt;=$C12),IF(AND($D12&gt;=X$3,$D12&lt;=X$3+6),2,1),""))</f>
        <v/>
      </c>
      <c r="Y12" s="29" t="str">
        <f aca="false">IF(OR($C12="",$D12=""),"",IF(AND(Y$3&lt;=$D12,Y$3+6&gt;=$C12),IF(AND($D12&gt;=Y$3,$D12&lt;=Y$3+6),2,1),""))</f>
        <v/>
      </c>
      <c r="Z12" s="29" t="str">
        <f aca="false">IF(OR($C12="",$D12=""),"",IF(AND(Z$3&lt;=$D12,Z$3+6&gt;=$C12),IF(AND($D12&gt;=Z$3,$D12&lt;=Z$3+6),2,1),""))</f>
        <v/>
      </c>
      <c r="AA12" s="29" t="str">
        <f aca="false">IF(OR($C12="",$D12=""),"",IF(AND(AA$3&lt;=$D12,AA$3+6&gt;=$C12),IF(AND($D12&gt;=AA$3,$D12&lt;=AA$3+6),2,1),""))</f>
        <v/>
      </c>
      <c r="AB12" s="29" t="str">
        <f aca="false">IF(OR($C12="",$D12=""),"",IF(AND(AB$3&lt;=$D12,AB$3+6&gt;=$C12),IF(AND($D12&gt;=AB$3,$D12&lt;=AB$3+6),2,1),""))</f>
        <v/>
      </c>
      <c r="AC12" s="29" t="str">
        <f aca="false">IF(OR($C12="",$D12=""),"",IF(AND(AC$3&lt;=$D12,AC$3+6&gt;=$C12),IF(AND($D12&gt;=AC$3,$D12&lt;=AC$3+6),2,1),""))</f>
        <v/>
      </c>
      <c r="AD12" s="29" t="str">
        <f aca="false">IF(OR($C12="",$D12=""),"",IF(AND(AD$3&lt;=$D12,AD$3+6&gt;=$C12),IF(AND($D12&gt;=AD$3,$D12&lt;=AD$3+6),2,1),""))</f>
        <v/>
      </c>
      <c r="AE12" s="29" t="str">
        <f aca="false">IF(OR($C12="",$D12=""),"",IF(AND(AE$3&lt;=$D12,AE$3+6&gt;=$C12),IF(AND($D12&gt;=AE$3,$D12&lt;=AE$3+6),2,1),""))</f>
        <v/>
      </c>
      <c r="AF12" s="29" t="str">
        <f aca="false">IF(OR($C12="",$D12=""),"",IF(AND(AF$3&lt;=$D12,AF$3+6&gt;=$C12),IF(AND($D12&gt;=AF$3,$D12&lt;=AF$3+6),2,1),""))</f>
        <v/>
      </c>
      <c r="AG12" s="29" t="str">
        <f aca="false">IF(OR($C12="",$D12=""),"",IF(AND(AG$3&lt;=$D12,AG$3+6&gt;=$C12),IF(AND($D12&gt;=AG$3,$D12&lt;=AG$3+6),2,1),""))</f>
        <v/>
      </c>
      <c r="AH12" s="29" t="str">
        <f aca="false">IF(OR($C12="",$D12=""),"",IF(AND(AH$3&lt;=$D12,AH$3+6&gt;=$C12),IF(AND($D12&gt;=AH$3,$D12&lt;=AH$3+6),2,1),""))</f>
        <v/>
      </c>
      <c r="AI12" s="29" t="str">
        <f aca="false">IF(OR($C12="",$D12=""),"",IF(AND(AI$3&lt;=$D12,AI$3+6&gt;=$C12),IF(AND($D12&gt;=AI$3,$D12&lt;=AI$3+6),2,1),""))</f>
        <v/>
      </c>
      <c r="AJ12" s="29" t="str">
        <f aca="false">IF(OR($C12="",$D12=""),"",IF(AND(AJ$3&lt;=$D12,AJ$3+6&gt;=$C12),IF(AND($D12&gt;=AJ$3,$D12&lt;=AJ$3+6),2,1),""))</f>
        <v/>
      </c>
      <c r="AK12" s="29" t="str">
        <f aca="false">IF(OR($C12="",$D12=""),"",IF(AND(AK$3&lt;=$D12,AK$3+6&gt;=$C12),IF(AND($D12&gt;=AK$3,$D12&lt;=AK$3+6),2,1),""))</f>
        <v/>
      </c>
      <c r="AL12" s="29" t="str">
        <f aca="false">IF(OR($C12="",$D12=""),"",IF(AND(AL$3&lt;=$D12,AL$3+6&gt;=$C12),IF(AND($D12&gt;=AL$3,$D12&lt;=AL$3+6),2,1),""))</f>
        <v/>
      </c>
      <c r="AM12" s="29" t="str">
        <f aca="false">IF(OR($C12="",$D12=""),"",IF(AND(AM$3&lt;=$D12,AM$3+6&gt;=$C12),IF(AND($D12&gt;=AM$3,$D12&lt;=AM$3+6),2,1),""))</f>
        <v/>
      </c>
      <c r="AN12" s="29" t="str">
        <f aca="false">IF(OR($C12="",$D12=""),"",IF(AND(AN$3&lt;=$D12,AN$3+6&gt;=$C12),IF(AND($D12&gt;=AN$3,$D12&lt;=AN$3+6),2,1),""))</f>
        <v/>
      </c>
      <c r="AO12" s="29" t="str">
        <f aca="false">IF(OR($C12="",$D12=""),"",IF(AND(AO$3&lt;=$D12,AO$3+6&gt;=$C12),IF(AND($D12&gt;=AO$3,$D12&lt;=AO$3+6),2,1),""))</f>
        <v/>
      </c>
      <c r="AP12" s="29" t="str">
        <f aca="false">IF(OR($C12="",$D12=""),"",IF(AND(AP$3&lt;=$D12,AP$3+6&gt;=$C12),IF(AND($D12&gt;=AP$3,$D12&lt;=AP$3+6),2,1),""))</f>
        <v/>
      </c>
      <c r="AQ12" s="29" t="str">
        <f aca="false">IF(OR($C12="",$D12=""),"",IF(AND(AQ$3&lt;=$D12,AQ$3+6&gt;=$C12),IF(AND($D12&gt;=AQ$3,$D12&lt;=AQ$3+6),2,1),""))</f>
        <v/>
      </c>
      <c r="AR12" s="29" t="str">
        <f aca="false">IF(OR($C12="",$D12=""),"",IF(AND(AR$3&lt;=$D12,AR$3+6&gt;=$C12),IF(AND($D12&gt;=AR$3,$D12&lt;=AR$3+6),2,1),""))</f>
        <v/>
      </c>
      <c r="AS12" s="29" t="str">
        <f aca="false">IF(OR($C12="",$D12=""),"",IF(AND(AS$3&lt;=$D12,AS$3+6&gt;=$C12),IF(AND($D12&gt;=AS$3,$D12&lt;=AS$3+6),2,1),""))</f>
        <v/>
      </c>
      <c r="AT12" s="29" t="str">
        <f aca="false">IF(OR($C12="",$D12=""),"",IF(AND(AT$3&lt;=$D12,AT$3+6&gt;=$C12),IF(AND($D12&gt;=AT$3,$D12&lt;=AT$3+6),2,1),""))</f>
        <v/>
      </c>
      <c r="AU12" s="29" t="str">
        <f aca="false">IF(OR($C12="",$D12=""),"",IF(AND(AU$3&lt;=$D12,AU$3+6&gt;=$C12),IF(AND($D12&gt;=AU$3,$D12&lt;=AU$3+6),2,1),""))</f>
        <v/>
      </c>
      <c r="AV12" s="29" t="str">
        <f aca="false">IF(OR($C12="",$D12=""),"",IF(AND(AV$3&lt;=$D12,AV$3+6&gt;=$C12),IF(AND($D12&gt;=AV$3,$D12&lt;=AV$3+6),2,1),""))</f>
        <v/>
      </c>
      <c r="AW12" s="29" t="str">
        <f aca="false">IF(OR($C12="",$D12=""),"",IF(AND(AW$3&lt;=$D12,AW$3+6&gt;=$C12),IF(AND($D12&gt;=AW$3,$D12&lt;=AW$3+6),2,1),""))</f>
        <v/>
      </c>
      <c r="AX12" s="29" t="str">
        <f aca="false">IF(OR($C12="",$D12=""),"",IF(AND(AX$3&lt;=$D12,AX$3+6&gt;=$C12),IF(AND($D12&gt;=AX$3,$D12&lt;=AX$3+6),2,1),""))</f>
        <v/>
      </c>
      <c r="AY12" s="29" t="str">
        <f aca="false">IF(OR($C12="",$D12=""),"",IF(AND(AY$3&lt;=$D12,AY$3+6&gt;=$C12),IF(AND($D12&gt;=AY$3,$D12&lt;=AY$3+6),2,1),""))</f>
        <v/>
      </c>
      <c r="AZ12" s="29" t="str">
        <f aca="false">IF(OR($C12="",$D12=""),"",IF(AND(AZ$3&lt;=$D12,AZ$3+6&gt;=$C12),IF(AND($D12&gt;=AZ$3,$D12&lt;=AZ$3+6),2,1),""))</f>
        <v/>
      </c>
      <c r="BA12" s="29" t="str">
        <f aca="false">IF(OR($C12="",$D12=""),"",IF(AND(BA$3&lt;=$D12,BA$3+6&gt;=$C12),IF(AND($D12&gt;=BA$3,$D12&lt;=BA$3+6),2,1),""))</f>
        <v/>
      </c>
      <c r="BB12" s="29" t="str">
        <f aca="false">IF(OR($C12="",$D12=""),"",IF(AND(BB$3&lt;=$D12,BB$3+6&gt;=$C12),IF(AND($D12&gt;=BB$3,$D12&lt;=BB$3+6),2,1),""))</f>
        <v/>
      </c>
      <c r="BC12" s="29" t="str">
        <f aca="false">IF(OR($C12="",$D12=""),"",IF(AND(BC$3&lt;=$D12,BC$3+6&gt;=$C12),IF(AND($D12&gt;=BC$3,$D12&lt;=BC$3+6),2,1),""))</f>
        <v/>
      </c>
      <c r="BD12" s="29" t="str">
        <f aca="false">IF(OR($C12="",$D12=""),"",IF(AND(BD$3&lt;=$D12,BD$3+6&gt;=$C12),IF(AND($D12&gt;=BD$3,$D12&lt;=BD$3+6),2,1),""))</f>
        <v/>
      </c>
      <c r="BE12" s="29" t="str">
        <f aca="false">IF(OR($C12="",$D12=""),"",IF(AND(BE$3&lt;=$D12,BE$3+6&gt;=$C12),IF(AND($D12&gt;=BE$3,$D12&lt;=BE$3+6),2,1),""))</f>
        <v/>
      </c>
      <c r="BF12" s="29" t="str">
        <f aca="false">IF(OR($C12="",$D12=""),"",IF(AND(BF$3&lt;=$D12,BF$3+6&gt;=$C12),IF(AND($D12&gt;=BF$3,$D12&lt;=BF$3+6),2,1),""))</f>
        <v/>
      </c>
    </row>
    <row r="13" customFormat="false" ht="15" hidden="false" customHeight="true" outlineLevel="0" collapsed="false">
      <c r="A13" s="16" t="s">
        <v>116</v>
      </c>
      <c r="B13" s="27" t="str">
        <f aca="false">IFERROR(INDEX(Plan!$C$2:$C$400,MATCH($A13,Plan!$A$2:$A$400,0)),"")</f>
        <v>Engineering-wide communication</v>
      </c>
      <c r="C13" s="28" t="n">
        <f aca="false">IFERROR(INDEX(Plan!$I$2:$I$400,MATCH($A13,Plan!$A$2:$A$400,0)),"")</f>
        <v>46328</v>
      </c>
      <c r="D13" s="28" t="n">
        <f aca="false">IFERROR(INDEX(Plan!$J$2:$J$400,MATCH($A13,Plan!$A$2:$A$400,0)),"")</f>
        <v>46374</v>
      </c>
      <c r="E13" s="29" t="str">
        <f aca="false">IF(OR($C13="",$D13=""),"",IF(AND(E$3&lt;=$D13,E$3+6&gt;=$C13),IF(AND($D13&gt;=E$3,$D13&lt;=E$3+6),2,1),""))</f>
        <v/>
      </c>
      <c r="F13" s="29" t="n">
        <f aca="false">IF(OR($C13="",$D13=""),"",IF(AND(F$3&lt;=$D13,F$3+6&gt;=$C13),IF(AND($D13&gt;=F$3,$D13&lt;=F$3+6),2,1),""))</f>
        <v>1</v>
      </c>
      <c r="G13" s="29" t="n">
        <f aca="false">IF(OR($C13="",$D13=""),"",IF(AND(G$3&lt;=$D13,G$3+6&gt;=$C13),IF(AND($D13&gt;=G$3,$D13&lt;=G$3+6),2,1),""))</f>
        <v>1</v>
      </c>
      <c r="H13" s="29" t="n">
        <f aca="false">IF(OR($C13="",$D13=""),"",IF(AND(H$3&lt;=$D13,H$3+6&gt;=$C13),IF(AND($D13&gt;=H$3,$D13&lt;=H$3+6),2,1),""))</f>
        <v>1</v>
      </c>
      <c r="I13" s="29" t="n">
        <f aca="false">IF(OR($C13="",$D13=""),"",IF(AND(I$3&lt;=$D13,I$3+6&gt;=$C13),IF(AND($D13&gt;=I$3,$D13&lt;=I$3+6),2,1),""))</f>
        <v>1</v>
      </c>
      <c r="J13" s="29" t="n">
        <f aca="false">IF(OR($C13="",$D13=""),"",IF(AND(J$3&lt;=$D13,J$3+6&gt;=$C13),IF(AND($D13&gt;=J$3,$D13&lt;=J$3+6),2,1),""))</f>
        <v>1</v>
      </c>
      <c r="K13" s="29" t="n">
        <f aca="false">IF(OR($C13="",$D13=""),"",IF(AND(K$3&lt;=$D13,K$3+6&gt;=$C13),IF(AND($D13&gt;=K$3,$D13&lt;=K$3+6),2,1),""))</f>
        <v>1</v>
      </c>
      <c r="L13" s="29" t="n">
        <f aca="false">IF(OR($C13="",$D13=""),"",IF(AND(L$3&lt;=$D13,L$3+6&gt;=$C13),IF(AND($D13&gt;=L$3,$D13&lt;=L$3+6),2,1),""))</f>
        <v>2</v>
      </c>
      <c r="M13" s="29" t="str">
        <f aca="false">IF(OR($C13="",$D13=""),"",IF(AND(M$3&lt;=$D13,M$3+6&gt;=$C13),IF(AND($D13&gt;=M$3,$D13&lt;=M$3+6),2,1),""))</f>
        <v/>
      </c>
      <c r="N13" s="29" t="str">
        <f aca="false">IF(OR($C13="",$D13=""),"",IF(AND(N$3&lt;=$D13,N$3+6&gt;=$C13),IF(AND($D13&gt;=N$3,$D13&lt;=N$3+6),2,1),""))</f>
        <v/>
      </c>
      <c r="O13" s="29" t="str">
        <f aca="false">IF(OR($C13="",$D13=""),"",IF(AND(O$3&lt;=$D13,O$3+6&gt;=$C13),IF(AND($D13&gt;=O$3,$D13&lt;=O$3+6),2,1),""))</f>
        <v/>
      </c>
      <c r="P13" s="29" t="str">
        <f aca="false">IF(OR($C13="",$D13=""),"",IF(AND(P$3&lt;=$D13,P$3+6&gt;=$C13),IF(AND($D13&gt;=P$3,$D13&lt;=P$3+6),2,1),""))</f>
        <v/>
      </c>
      <c r="Q13" s="29" t="str">
        <f aca="false">IF(OR($C13="",$D13=""),"",IF(AND(Q$3&lt;=$D13,Q$3+6&gt;=$C13),IF(AND($D13&gt;=Q$3,$D13&lt;=Q$3+6),2,1),""))</f>
        <v/>
      </c>
      <c r="R13" s="29" t="str">
        <f aca="false">IF(OR($C13="",$D13=""),"",IF(AND(R$3&lt;=$D13,R$3+6&gt;=$C13),IF(AND($D13&gt;=R$3,$D13&lt;=R$3+6),2,1),""))</f>
        <v/>
      </c>
      <c r="S13" s="29" t="str">
        <f aca="false">IF(OR($C13="",$D13=""),"",IF(AND(S$3&lt;=$D13,S$3+6&gt;=$C13),IF(AND($D13&gt;=S$3,$D13&lt;=S$3+6),2,1),""))</f>
        <v/>
      </c>
      <c r="T13" s="29" t="str">
        <f aca="false">IF(OR($C13="",$D13=""),"",IF(AND(T$3&lt;=$D13,T$3+6&gt;=$C13),IF(AND($D13&gt;=T$3,$D13&lt;=T$3+6),2,1),""))</f>
        <v/>
      </c>
      <c r="U13" s="29" t="str">
        <f aca="false">IF(OR($C13="",$D13=""),"",IF(AND(U$3&lt;=$D13,U$3+6&gt;=$C13),IF(AND($D13&gt;=U$3,$D13&lt;=U$3+6),2,1),""))</f>
        <v/>
      </c>
      <c r="V13" s="29" t="str">
        <f aca="false">IF(OR($C13="",$D13=""),"",IF(AND(V$3&lt;=$D13,V$3+6&gt;=$C13),IF(AND($D13&gt;=V$3,$D13&lt;=V$3+6),2,1),""))</f>
        <v/>
      </c>
      <c r="W13" s="29" t="str">
        <f aca="false">IF(OR($C13="",$D13=""),"",IF(AND(W$3&lt;=$D13,W$3+6&gt;=$C13),IF(AND($D13&gt;=W$3,$D13&lt;=W$3+6),2,1),""))</f>
        <v/>
      </c>
      <c r="X13" s="29" t="str">
        <f aca="false">IF(OR($C13="",$D13=""),"",IF(AND(X$3&lt;=$D13,X$3+6&gt;=$C13),IF(AND($D13&gt;=X$3,$D13&lt;=X$3+6),2,1),""))</f>
        <v/>
      </c>
      <c r="Y13" s="29" t="str">
        <f aca="false">IF(OR($C13="",$D13=""),"",IF(AND(Y$3&lt;=$D13,Y$3+6&gt;=$C13),IF(AND($D13&gt;=Y$3,$D13&lt;=Y$3+6),2,1),""))</f>
        <v/>
      </c>
      <c r="Z13" s="29" t="str">
        <f aca="false">IF(OR($C13="",$D13=""),"",IF(AND(Z$3&lt;=$D13,Z$3+6&gt;=$C13),IF(AND($D13&gt;=Z$3,$D13&lt;=Z$3+6),2,1),""))</f>
        <v/>
      </c>
      <c r="AA13" s="29" t="str">
        <f aca="false">IF(OR($C13="",$D13=""),"",IF(AND(AA$3&lt;=$D13,AA$3+6&gt;=$C13),IF(AND($D13&gt;=AA$3,$D13&lt;=AA$3+6),2,1),""))</f>
        <v/>
      </c>
      <c r="AB13" s="29" t="str">
        <f aca="false">IF(OR($C13="",$D13=""),"",IF(AND(AB$3&lt;=$D13,AB$3+6&gt;=$C13),IF(AND($D13&gt;=AB$3,$D13&lt;=AB$3+6),2,1),""))</f>
        <v/>
      </c>
      <c r="AC13" s="29" t="str">
        <f aca="false">IF(OR($C13="",$D13=""),"",IF(AND(AC$3&lt;=$D13,AC$3+6&gt;=$C13),IF(AND($D13&gt;=AC$3,$D13&lt;=AC$3+6),2,1),""))</f>
        <v/>
      </c>
      <c r="AD13" s="29" t="str">
        <f aca="false">IF(OR($C13="",$D13=""),"",IF(AND(AD$3&lt;=$D13,AD$3+6&gt;=$C13),IF(AND($D13&gt;=AD$3,$D13&lt;=AD$3+6),2,1),""))</f>
        <v/>
      </c>
      <c r="AE13" s="29" t="str">
        <f aca="false">IF(OR($C13="",$D13=""),"",IF(AND(AE$3&lt;=$D13,AE$3+6&gt;=$C13),IF(AND($D13&gt;=AE$3,$D13&lt;=AE$3+6),2,1),""))</f>
        <v/>
      </c>
      <c r="AF13" s="29" t="str">
        <f aca="false">IF(OR($C13="",$D13=""),"",IF(AND(AF$3&lt;=$D13,AF$3+6&gt;=$C13),IF(AND($D13&gt;=AF$3,$D13&lt;=AF$3+6),2,1),""))</f>
        <v/>
      </c>
      <c r="AG13" s="29" t="str">
        <f aca="false">IF(OR($C13="",$D13=""),"",IF(AND(AG$3&lt;=$D13,AG$3+6&gt;=$C13),IF(AND($D13&gt;=AG$3,$D13&lt;=AG$3+6),2,1),""))</f>
        <v/>
      </c>
      <c r="AH13" s="29" t="str">
        <f aca="false">IF(OR($C13="",$D13=""),"",IF(AND(AH$3&lt;=$D13,AH$3+6&gt;=$C13),IF(AND($D13&gt;=AH$3,$D13&lt;=AH$3+6),2,1),""))</f>
        <v/>
      </c>
      <c r="AI13" s="29" t="str">
        <f aca="false">IF(OR($C13="",$D13=""),"",IF(AND(AI$3&lt;=$D13,AI$3+6&gt;=$C13),IF(AND($D13&gt;=AI$3,$D13&lt;=AI$3+6),2,1),""))</f>
        <v/>
      </c>
      <c r="AJ13" s="29" t="str">
        <f aca="false">IF(OR($C13="",$D13=""),"",IF(AND(AJ$3&lt;=$D13,AJ$3+6&gt;=$C13),IF(AND($D13&gt;=AJ$3,$D13&lt;=AJ$3+6),2,1),""))</f>
        <v/>
      </c>
      <c r="AK13" s="29" t="str">
        <f aca="false">IF(OR($C13="",$D13=""),"",IF(AND(AK$3&lt;=$D13,AK$3+6&gt;=$C13),IF(AND($D13&gt;=AK$3,$D13&lt;=AK$3+6),2,1),""))</f>
        <v/>
      </c>
      <c r="AL13" s="29" t="str">
        <f aca="false">IF(OR($C13="",$D13=""),"",IF(AND(AL$3&lt;=$D13,AL$3+6&gt;=$C13),IF(AND($D13&gt;=AL$3,$D13&lt;=AL$3+6),2,1),""))</f>
        <v/>
      </c>
      <c r="AM13" s="29" t="str">
        <f aca="false">IF(OR($C13="",$D13=""),"",IF(AND(AM$3&lt;=$D13,AM$3+6&gt;=$C13),IF(AND($D13&gt;=AM$3,$D13&lt;=AM$3+6),2,1),""))</f>
        <v/>
      </c>
      <c r="AN13" s="29" t="str">
        <f aca="false">IF(OR($C13="",$D13=""),"",IF(AND(AN$3&lt;=$D13,AN$3+6&gt;=$C13),IF(AND($D13&gt;=AN$3,$D13&lt;=AN$3+6),2,1),""))</f>
        <v/>
      </c>
      <c r="AO13" s="29" t="str">
        <f aca="false">IF(OR($C13="",$D13=""),"",IF(AND(AO$3&lt;=$D13,AO$3+6&gt;=$C13),IF(AND($D13&gt;=AO$3,$D13&lt;=AO$3+6),2,1),""))</f>
        <v/>
      </c>
      <c r="AP13" s="29" t="str">
        <f aca="false">IF(OR($C13="",$D13=""),"",IF(AND(AP$3&lt;=$D13,AP$3+6&gt;=$C13),IF(AND($D13&gt;=AP$3,$D13&lt;=AP$3+6),2,1),""))</f>
        <v/>
      </c>
      <c r="AQ13" s="29" t="str">
        <f aca="false">IF(OR($C13="",$D13=""),"",IF(AND(AQ$3&lt;=$D13,AQ$3+6&gt;=$C13),IF(AND($D13&gt;=AQ$3,$D13&lt;=AQ$3+6),2,1),""))</f>
        <v/>
      </c>
      <c r="AR13" s="29" t="str">
        <f aca="false">IF(OR($C13="",$D13=""),"",IF(AND(AR$3&lt;=$D13,AR$3+6&gt;=$C13),IF(AND($D13&gt;=AR$3,$D13&lt;=AR$3+6),2,1),""))</f>
        <v/>
      </c>
      <c r="AS13" s="29" t="str">
        <f aca="false">IF(OR($C13="",$D13=""),"",IF(AND(AS$3&lt;=$D13,AS$3+6&gt;=$C13),IF(AND($D13&gt;=AS$3,$D13&lt;=AS$3+6),2,1),""))</f>
        <v/>
      </c>
      <c r="AT13" s="29" t="str">
        <f aca="false">IF(OR($C13="",$D13=""),"",IF(AND(AT$3&lt;=$D13,AT$3+6&gt;=$C13),IF(AND($D13&gt;=AT$3,$D13&lt;=AT$3+6),2,1),""))</f>
        <v/>
      </c>
      <c r="AU13" s="29" t="str">
        <f aca="false">IF(OR($C13="",$D13=""),"",IF(AND(AU$3&lt;=$D13,AU$3+6&gt;=$C13),IF(AND($D13&gt;=AU$3,$D13&lt;=AU$3+6),2,1),""))</f>
        <v/>
      </c>
      <c r="AV13" s="29" t="str">
        <f aca="false">IF(OR($C13="",$D13=""),"",IF(AND(AV$3&lt;=$D13,AV$3+6&gt;=$C13),IF(AND($D13&gt;=AV$3,$D13&lt;=AV$3+6),2,1),""))</f>
        <v/>
      </c>
      <c r="AW13" s="29" t="str">
        <f aca="false">IF(OR($C13="",$D13=""),"",IF(AND(AW$3&lt;=$D13,AW$3+6&gt;=$C13),IF(AND($D13&gt;=AW$3,$D13&lt;=AW$3+6),2,1),""))</f>
        <v/>
      </c>
      <c r="AX13" s="29" t="str">
        <f aca="false">IF(OR($C13="",$D13=""),"",IF(AND(AX$3&lt;=$D13,AX$3+6&gt;=$C13),IF(AND($D13&gt;=AX$3,$D13&lt;=AX$3+6),2,1),""))</f>
        <v/>
      </c>
      <c r="AY13" s="29" t="str">
        <f aca="false">IF(OR($C13="",$D13=""),"",IF(AND(AY$3&lt;=$D13,AY$3+6&gt;=$C13),IF(AND($D13&gt;=AY$3,$D13&lt;=AY$3+6),2,1),""))</f>
        <v/>
      </c>
      <c r="AZ13" s="29" t="str">
        <f aca="false">IF(OR($C13="",$D13=""),"",IF(AND(AZ$3&lt;=$D13,AZ$3+6&gt;=$C13),IF(AND($D13&gt;=AZ$3,$D13&lt;=AZ$3+6),2,1),""))</f>
        <v/>
      </c>
      <c r="BA13" s="29" t="str">
        <f aca="false">IF(OR($C13="",$D13=""),"",IF(AND(BA$3&lt;=$D13,BA$3+6&gt;=$C13),IF(AND($D13&gt;=BA$3,$D13&lt;=BA$3+6),2,1),""))</f>
        <v/>
      </c>
      <c r="BB13" s="29" t="str">
        <f aca="false">IF(OR($C13="",$D13=""),"",IF(AND(BB$3&lt;=$D13,BB$3+6&gt;=$C13),IF(AND($D13&gt;=BB$3,$D13&lt;=BB$3+6),2,1),""))</f>
        <v/>
      </c>
      <c r="BC13" s="29" t="str">
        <f aca="false">IF(OR($C13="",$D13=""),"",IF(AND(BC$3&lt;=$D13,BC$3+6&gt;=$C13),IF(AND($D13&gt;=BC$3,$D13&lt;=BC$3+6),2,1),""))</f>
        <v/>
      </c>
      <c r="BD13" s="29" t="str">
        <f aca="false">IF(OR($C13="",$D13=""),"",IF(AND(BD$3&lt;=$D13,BD$3+6&gt;=$C13),IF(AND($D13&gt;=BD$3,$D13&lt;=BD$3+6),2,1),""))</f>
        <v/>
      </c>
      <c r="BE13" s="29" t="str">
        <f aca="false">IF(OR($C13="",$D13=""),"",IF(AND(BE$3&lt;=$D13,BE$3+6&gt;=$C13),IF(AND($D13&gt;=BE$3,$D13&lt;=BE$3+6),2,1),""))</f>
        <v/>
      </c>
      <c r="BF13" s="29" t="str">
        <f aca="false">IF(OR($C13="",$D13=""),"",IF(AND(BF$3&lt;=$D13,BF$3+6&gt;=$C13),IF(AND($D13&gt;=BF$3,$D13&lt;=BF$3+6),2,1),""))</f>
        <v/>
      </c>
    </row>
    <row r="14" customFormat="false" ht="15" hidden="false" customHeight="true" outlineLevel="0" collapsed="false">
      <c r="A14" s="16" t="s">
        <v>122</v>
      </c>
      <c r="B14" s="27" t="str">
        <f aca="false">IFERROR(INDEX(Plan!$C$2:$C$400,MATCH($A14,Plan!$A$2:$A$400,0)),"")</f>
        <v>Lock the baseline from internal analytics</v>
      </c>
      <c r="C14" s="28" t="n">
        <f aca="false">IFERROR(INDEX(Plan!$I$2:$I$400,MATCH($A14,Plan!$A$2:$A$400,0)),"")</f>
        <v>46321</v>
      </c>
      <c r="D14" s="28" t="n">
        <f aca="false">IFERROR(INDEX(Plan!$J$2:$J$400,MATCH($A14,Plan!$A$2:$A$400,0)),"")</f>
        <v>46332</v>
      </c>
      <c r="E14" s="29" t="n">
        <f aca="false">IF(OR($C14="",$D14=""),"",IF(AND(E$3&lt;=$D14,E$3+6&gt;=$C14),IF(AND($D14&gt;=E$3,$D14&lt;=E$3+6),2,1),""))</f>
        <v>1</v>
      </c>
      <c r="F14" s="29" t="n">
        <f aca="false">IF(OR($C14="",$D14=""),"",IF(AND(F$3&lt;=$D14,F$3+6&gt;=$C14),IF(AND($D14&gt;=F$3,$D14&lt;=F$3+6),2,1),""))</f>
        <v>2</v>
      </c>
      <c r="G14" s="29" t="str">
        <f aca="false">IF(OR($C14="",$D14=""),"",IF(AND(G$3&lt;=$D14,G$3+6&gt;=$C14),IF(AND($D14&gt;=G$3,$D14&lt;=G$3+6),2,1),""))</f>
        <v/>
      </c>
      <c r="H14" s="29" t="str">
        <f aca="false">IF(OR($C14="",$D14=""),"",IF(AND(H$3&lt;=$D14,H$3+6&gt;=$C14),IF(AND($D14&gt;=H$3,$D14&lt;=H$3+6),2,1),""))</f>
        <v/>
      </c>
      <c r="I14" s="29" t="str">
        <f aca="false">IF(OR($C14="",$D14=""),"",IF(AND(I$3&lt;=$D14,I$3+6&gt;=$C14),IF(AND($D14&gt;=I$3,$D14&lt;=I$3+6),2,1),""))</f>
        <v/>
      </c>
      <c r="J14" s="29" t="str">
        <f aca="false">IF(OR($C14="",$D14=""),"",IF(AND(J$3&lt;=$D14,J$3+6&gt;=$C14),IF(AND($D14&gt;=J$3,$D14&lt;=J$3+6),2,1),""))</f>
        <v/>
      </c>
      <c r="K14" s="29" t="str">
        <f aca="false">IF(OR($C14="",$D14=""),"",IF(AND(K$3&lt;=$D14,K$3+6&gt;=$C14),IF(AND($D14&gt;=K$3,$D14&lt;=K$3+6),2,1),""))</f>
        <v/>
      </c>
      <c r="L14" s="29" t="str">
        <f aca="false">IF(OR($C14="",$D14=""),"",IF(AND(L$3&lt;=$D14,L$3+6&gt;=$C14),IF(AND($D14&gt;=L$3,$D14&lt;=L$3+6),2,1),""))</f>
        <v/>
      </c>
      <c r="M14" s="29" t="str">
        <f aca="false">IF(OR($C14="",$D14=""),"",IF(AND(M$3&lt;=$D14,M$3+6&gt;=$C14),IF(AND($D14&gt;=M$3,$D14&lt;=M$3+6),2,1),""))</f>
        <v/>
      </c>
      <c r="N14" s="29" t="str">
        <f aca="false">IF(OR($C14="",$D14=""),"",IF(AND(N$3&lt;=$D14,N$3+6&gt;=$C14),IF(AND($D14&gt;=N$3,$D14&lt;=N$3+6),2,1),""))</f>
        <v/>
      </c>
      <c r="O14" s="29" t="str">
        <f aca="false">IF(OR($C14="",$D14=""),"",IF(AND(O$3&lt;=$D14,O$3+6&gt;=$C14),IF(AND($D14&gt;=O$3,$D14&lt;=O$3+6),2,1),""))</f>
        <v/>
      </c>
      <c r="P14" s="29" t="str">
        <f aca="false">IF(OR($C14="",$D14=""),"",IF(AND(P$3&lt;=$D14,P$3+6&gt;=$C14),IF(AND($D14&gt;=P$3,$D14&lt;=P$3+6),2,1),""))</f>
        <v/>
      </c>
      <c r="Q14" s="29" t="str">
        <f aca="false">IF(OR($C14="",$D14=""),"",IF(AND(Q$3&lt;=$D14,Q$3+6&gt;=$C14),IF(AND($D14&gt;=Q$3,$D14&lt;=Q$3+6),2,1),""))</f>
        <v/>
      </c>
      <c r="R14" s="29" t="str">
        <f aca="false">IF(OR($C14="",$D14=""),"",IF(AND(R$3&lt;=$D14,R$3+6&gt;=$C14),IF(AND($D14&gt;=R$3,$D14&lt;=R$3+6),2,1),""))</f>
        <v/>
      </c>
      <c r="S14" s="29" t="str">
        <f aca="false">IF(OR($C14="",$D14=""),"",IF(AND(S$3&lt;=$D14,S$3+6&gt;=$C14),IF(AND($D14&gt;=S$3,$D14&lt;=S$3+6),2,1),""))</f>
        <v/>
      </c>
      <c r="T14" s="29" t="str">
        <f aca="false">IF(OR($C14="",$D14=""),"",IF(AND(T$3&lt;=$D14,T$3+6&gt;=$C14),IF(AND($D14&gt;=T$3,$D14&lt;=T$3+6),2,1),""))</f>
        <v/>
      </c>
      <c r="U14" s="29" t="str">
        <f aca="false">IF(OR($C14="",$D14=""),"",IF(AND(U$3&lt;=$D14,U$3+6&gt;=$C14),IF(AND($D14&gt;=U$3,$D14&lt;=U$3+6),2,1),""))</f>
        <v/>
      </c>
      <c r="V14" s="29" t="str">
        <f aca="false">IF(OR($C14="",$D14=""),"",IF(AND(V$3&lt;=$D14,V$3+6&gt;=$C14),IF(AND($D14&gt;=V$3,$D14&lt;=V$3+6),2,1),""))</f>
        <v/>
      </c>
      <c r="W14" s="29" t="str">
        <f aca="false">IF(OR($C14="",$D14=""),"",IF(AND(W$3&lt;=$D14,W$3+6&gt;=$C14),IF(AND($D14&gt;=W$3,$D14&lt;=W$3+6),2,1),""))</f>
        <v/>
      </c>
      <c r="X14" s="29" t="str">
        <f aca="false">IF(OR($C14="",$D14=""),"",IF(AND(X$3&lt;=$D14,X$3+6&gt;=$C14),IF(AND($D14&gt;=X$3,$D14&lt;=X$3+6),2,1),""))</f>
        <v/>
      </c>
      <c r="Y14" s="29" t="str">
        <f aca="false">IF(OR($C14="",$D14=""),"",IF(AND(Y$3&lt;=$D14,Y$3+6&gt;=$C14),IF(AND($D14&gt;=Y$3,$D14&lt;=Y$3+6),2,1),""))</f>
        <v/>
      </c>
      <c r="Z14" s="29" t="str">
        <f aca="false">IF(OR($C14="",$D14=""),"",IF(AND(Z$3&lt;=$D14,Z$3+6&gt;=$C14),IF(AND($D14&gt;=Z$3,$D14&lt;=Z$3+6),2,1),""))</f>
        <v/>
      </c>
      <c r="AA14" s="29" t="str">
        <f aca="false">IF(OR($C14="",$D14=""),"",IF(AND(AA$3&lt;=$D14,AA$3+6&gt;=$C14),IF(AND($D14&gt;=AA$3,$D14&lt;=AA$3+6),2,1),""))</f>
        <v/>
      </c>
      <c r="AB14" s="29" t="str">
        <f aca="false">IF(OR($C14="",$D14=""),"",IF(AND(AB$3&lt;=$D14,AB$3+6&gt;=$C14),IF(AND($D14&gt;=AB$3,$D14&lt;=AB$3+6),2,1),""))</f>
        <v/>
      </c>
      <c r="AC14" s="29" t="str">
        <f aca="false">IF(OR($C14="",$D14=""),"",IF(AND(AC$3&lt;=$D14,AC$3+6&gt;=$C14),IF(AND($D14&gt;=AC$3,$D14&lt;=AC$3+6),2,1),""))</f>
        <v/>
      </c>
      <c r="AD14" s="29" t="str">
        <f aca="false">IF(OR($C14="",$D14=""),"",IF(AND(AD$3&lt;=$D14,AD$3+6&gt;=$C14),IF(AND($D14&gt;=AD$3,$D14&lt;=AD$3+6),2,1),""))</f>
        <v/>
      </c>
      <c r="AE14" s="29" t="str">
        <f aca="false">IF(OR($C14="",$D14=""),"",IF(AND(AE$3&lt;=$D14,AE$3+6&gt;=$C14),IF(AND($D14&gt;=AE$3,$D14&lt;=AE$3+6),2,1),""))</f>
        <v/>
      </c>
      <c r="AF14" s="29" t="str">
        <f aca="false">IF(OR($C14="",$D14=""),"",IF(AND(AF$3&lt;=$D14,AF$3+6&gt;=$C14),IF(AND($D14&gt;=AF$3,$D14&lt;=AF$3+6),2,1),""))</f>
        <v/>
      </c>
      <c r="AG14" s="29" t="str">
        <f aca="false">IF(OR($C14="",$D14=""),"",IF(AND(AG$3&lt;=$D14,AG$3+6&gt;=$C14),IF(AND($D14&gt;=AG$3,$D14&lt;=AG$3+6),2,1),""))</f>
        <v/>
      </c>
      <c r="AH14" s="29" t="str">
        <f aca="false">IF(OR($C14="",$D14=""),"",IF(AND(AH$3&lt;=$D14,AH$3+6&gt;=$C14),IF(AND($D14&gt;=AH$3,$D14&lt;=AH$3+6),2,1),""))</f>
        <v/>
      </c>
      <c r="AI14" s="29" t="str">
        <f aca="false">IF(OR($C14="",$D14=""),"",IF(AND(AI$3&lt;=$D14,AI$3+6&gt;=$C14),IF(AND($D14&gt;=AI$3,$D14&lt;=AI$3+6),2,1),""))</f>
        <v/>
      </c>
      <c r="AJ14" s="29" t="str">
        <f aca="false">IF(OR($C14="",$D14=""),"",IF(AND(AJ$3&lt;=$D14,AJ$3+6&gt;=$C14),IF(AND($D14&gt;=AJ$3,$D14&lt;=AJ$3+6),2,1),""))</f>
        <v/>
      </c>
      <c r="AK14" s="29" t="str">
        <f aca="false">IF(OR($C14="",$D14=""),"",IF(AND(AK$3&lt;=$D14,AK$3+6&gt;=$C14),IF(AND($D14&gt;=AK$3,$D14&lt;=AK$3+6),2,1),""))</f>
        <v/>
      </c>
      <c r="AL14" s="29" t="str">
        <f aca="false">IF(OR($C14="",$D14=""),"",IF(AND(AL$3&lt;=$D14,AL$3+6&gt;=$C14),IF(AND($D14&gt;=AL$3,$D14&lt;=AL$3+6),2,1),""))</f>
        <v/>
      </c>
      <c r="AM14" s="29" t="str">
        <f aca="false">IF(OR($C14="",$D14=""),"",IF(AND(AM$3&lt;=$D14,AM$3+6&gt;=$C14),IF(AND($D14&gt;=AM$3,$D14&lt;=AM$3+6),2,1),""))</f>
        <v/>
      </c>
      <c r="AN14" s="29" t="str">
        <f aca="false">IF(OR($C14="",$D14=""),"",IF(AND(AN$3&lt;=$D14,AN$3+6&gt;=$C14),IF(AND($D14&gt;=AN$3,$D14&lt;=AN$3+6),2,1),""))</f>
        <v/>
      </c>
      <c r="AO14" s="29" t="str">
        <f aca="false">IF(OR($C14="",$D14=""),"",IF(AND(AO$3&lt;=$D14,AO$3+6&gt;=$C14),IF(AND($D14&gt;=AO$3,$D14&lt;=AO$3+6),2,1),""))</f>
        <v/>
      </c>
      <c r="AP14" s="29" t="str">
        <f aca="false">IF(OR($C14="",$D14=""),"",IF(AND(AP$3&lt;=$D14,AP$3+6&gt;=$C14),IF(AND($D14&gt;=AP$3,$D14&lt;=AP$3+6),2,1),""))</f>
        <v/>
      </c>
      <c r="AQ14" s="29" t="str">
        <f aca="false">IF(OR($C14="",$D14=""),"",IF(AND(AQ$3&lt;=$D14,AQ$3+6&gt;=$C14),IF(AND($D14&gt;=AQ$3,$D14&lt;=AQ$3+6),2,1),""))</f>
        <v/>
      </c>
      <c r="AR14" s="29" t="str">
        <f aca="false">IF(OR($C14="",$D14=""),"",IF(AND(AR$3&lt;=$D14,AR$3+6&gt;=$C14),IF(AND($D14&gt;=AR$3,$D14&lt;=AR$3+6),2,1),""))</f>
        <v/>
      </c>
      <c r="AS14" s="29" t="str">
        <f aca="false">IF(OR($C14="",$D14=""),"",IF(AND(AS$3&lt;=$D14,AS$3+6&gt;=$C14),IF(AND($D14&gt;=AS$3,$D14&lt;=AS$3+6),2,1),""))</f>
        <v/>
      </c>
      <c r="AT14" s="29" t="str">
        <f aca="false">IF(OR($C14="",$D14=""),"",IF(AND(AT$3&lt;=$D14,AT$3+6&gt;=$C14),IF(AND($D14&gt;=AT$3,$D14&lt;=AT$3+6),2,1),""))</f>
        <v/>
      </c>
      <c r="AU14" s="29" t="str">
        <f aca="false">IF(OR($C14="",$D14=""),"",IF(AND(AU$3&lt;=$D14,AU$3+6&gt;=$C14),IF(AND($D14&gt;=AU$3,$D14&lt;=AU$3+6),2,1),""))</f>
        <v/>
      </c>
      <c r="AV14" s="29" t="str">
        <f aca="false">IF(OR($C14="",$D14=""),"",IF(AND(AV$3&lt;=$D14,AV$3+6&gt;=$C14),IF(AND($D14&gt;=AV$3,$D14&lt;=AV$3+6),2,1),""))</f>
        <v/>
      </c>
      <c r="AW14" s="29" t="str">
        <f aca="false">IF(OR($C14="",$D14=""),"",IF(AND(AW$3&lt;=$D14,AW$3+6&gt;=$C14),IF(AND($D14&gt;=AW$3,$D14&lt;=AW$3+6),2,1),""))</f>
        <v/>
      </c>
      <c r="AX14" s="29" t="str">
        <f aca="false">IF(OR($C14="",$D14=""),"",IF(AND(AX$3&lt;=$D14,AX$3+6&gt;=$C14),IF(AND($D14&gt;=AX$3,$D14&lt;=AX$3+6),2,1),""))</f>
        <v/>
      </c>
      <c r="AY14" s="29" t="str">
        <f aca="false">IF(OR($C14="",$D14=""),"",IF(AND(AY$3&lt;=$D14,AY$3+6&gt;=$C14),IF(AND($D14&gt;=AY$3,$D14&lt;=AY$3+6),2,1),""))</f>
        <v/>
      </c>
      <c r="AZ14" s="29" t="str">
        <f aca="false">IF(OR($C14="",$D14=""),"",IF(AND(AZ$3&lt;=$D14,AZ$3+6&gt;=$C14),IF(AND($D14&gt;=AZ$3,$D14&lt;=AZ$3+6),2,1),""))</f>
        <v/>
      </c>
      <c r="BA14" s="29" t="str">
        <f aca="false">IF(OR($C14="",$D14=""),"",IF(AND(BA$3&lt;=$D14,BA$3+6&gt;=$C14),IF(AND($D14&gt;=BA$3,$D14&lt;=BA$3+6),2,1),""))</f>
        <v/>
      </c>
      <c r="BB14" s="29" t="str">
        <f aca="false">IF(OR($C14="",$D14=""),"",IF(AND(BB$3&lt;=$D14,BB$3+6&gt;=$C14),IF(AND($D14&gt;=BB$3,$D14&lt;=BB$3+6),2,1),""))</f>
        <v/>
      </c>
      <c r="BC14" s="29" t="str">
        <f aca="false">IF(OR($C14="",$D14=""),"",IF(AND(BC$3&lt;=$D14,BC$3+6&gt;=$C14),IF(AND($D14&gt;=BC$3,$D14&lt;=BC$3+6),2,1),""))</f>
        <v/>
      </c>
      <c r="BD14" s="29" t="str">
        <f aca="false">IF(OR($C14="",$D14=""),"",IF(AND(BD$3&lt;=$D14,BD$3+6&gt;=$C14),IF(AND($D14&gt;=BD$3,$D14&lt;=BD$3+6),2,1),""))</f>
        <v/>
      </c>
      <c r="BE14" s="29" t="str">
        <f aca="false">IF(OR($C14="",$D14=""),"",IF(AND(BE$3&lt;=$D14,BE$3+6&gt;=$C14),IF(AND($D14&gt;=BE$3,$D14&lt;=BE$3+6),2,1),""))</f>
        <v/>
      </c>
      <c r="BF14" s="29" t="str">
        <f aca="false">IF(OR($C14="",$D14=""),"",IF(AND(BF$3&lt;=$D14,BF$3+6&gt;=$C14),IF(AND($D14&gt;=BF$3,$D14&lt;=BF$3+6),2,1),""))</f>
        <v/>
      </c>
    </row>
    <row r="15" customFormat="false" ht="15" hidden="false" customHeight="true" outlineLevel="0" collapsed="false">
      <c r="A15" s="16" t="s">
        <v>130</v>
      </c>
      <c r="B15" s="27" t="str">
        <f aca="false">IFERROR(INDEX(Plan!$C$2:$C$400,MATCH($A15,Plan!$A$2:$A$400,0)),"")</f>
        <v>Measure AI code share in production</v>
      </c>
      <c r="C15" s="28" t="n">
        <f aca="false">IFERROR(INDEX(Plan!$I$2:$I$400,MATCH($A15,Plan!$A$2:$A$400,0)),"")</f>
        <v>46328</v>
      </c>
      <c r="D15" s="28" t="n">
        <f aca="false">IFERROR(INDEX(Plan!$J$2:$J$400,MATCH($A15,Plan!$A$2:$A$400,0)),"")</f>
        <v>46346</v>
      </c>
      <c r="E15" s="29" t="str">
        <f aca="false">IF(OR($C15="",$D15=""),"",IF(AND(E$3&lt;=$D15,E$3+6&gt;=$C15),IF(AND($D15&gt;=E$3,$D15&lt;=E$3+6),2,1),""))</f>
        <v/>
      </c>
      <c r="F15" s="29" t="n">
        <f aca="false">IF(OR($C15="",$D15=""),"",IF(AND(F$3&lt;=$D15,F$3+6&gt;=$C15),IF(AND($D15&gt;=F$3,$D15&lt;=F$3+6),2,1),""))</f>
        <v>1</v>
      </c>
      <c r="G15" s="29" t="n">
        <f aca="false">IF(OR($C15="",$D15=""),"",IF(AND(G$3&lt;=$D15,G$3+6&gt;=$C15),IF(AND($D15&gt;=G$3,$D15&lt;=G$3+6),2,1),""))</f>
        <v>1</v>
      </c>
      <c r="H15" s="29" t="n">
        <f aca="false">IF(OR($C15="",$D15=""),"",IF(AND(H$3&lt;=$D15,H$3+6&gt;=$C15),IF(AND($D15&gt;=H$3,$D15&lt;=H$3+6),2,1),""))</f>
        <v>2</v>
      </c>
      <c r="I15" s="29" t="str">
        <f aca="false">IF(OR($C15="",$D15=""),"",IF(AND(I$3&lt;=$D15,I$3+6&gt;=$C15),IF(AND($D15&gt;=I$3,$D15&lt;=I$3+6),2,1),""))</f>
        <v/>
      </c>
      <c r="J15" s="29" t="str">
        <f aca="false">IF(OR($C15="",$D15=""),"",IF(AND(J$3&lt;=$D15,J$3+6&gt;=$C15),IF(AND($D15&gt;=J$3,$D15&lt;=J$3+6),2,1),""))</f>
        <v/>
      </c>
      <c r="K15" s="29" t="str">
        <f aca="false">IF(OR($C15="",$D15=""),"",IF(AND(K$3&lt;=$D15,K$3+6&gt;=$C15),IF(AND($D15&gt;=K$3,$D15&lt;=K$3+6),2,1),""))</f>
        <v/>
      </c>
      <c r="L15" s="29" t="str">
        <f aca="false">IF(OR($C15="",$D15=""),"",IF(AND(L$3&lt;=$D15,L$3+6&gt;=$C15),IF(AND($D15&gt;=L$3,$D15&lt;=L$3+6),2,1),""))</f>
        <v/>
      </c>
      <c r="M15" s="29" t="str">
        <f aca="false">IF(OR($C15="",$D15=""),"",IF(AND(M$3&lt;=$D15,M$3+6&gt;=$C15),IF(AND($D15&gt;=M$3,$D15&lt;=M$3+6),2,1),""))</f>
        <v/>
      </c>
      <c r="N15" s="29" t="str">
        <f aca="false">IF(OR($C15="",$D15=""),"",IF(AND(N$3&lt;=$D15,N$3+6&gt;=$C15),IF(AND($D15&gt;=N$3,$D15&lt;=N$3+6),2,1),""))</f>
        <v/>
      </c>
      <c r="O15" s="29" t="str">
        <f aca="false">IF(OR($C15="",$D15=""),"",IF(AND(O$3&lt;=$D15,O$3+6&gt;=$C15),IF(AND($D15&gt;=O$3,$D15&lt;=O$3+6),2,1),""))</f>
        <v/>
      </c>
      <c r="P15" s="29" t="str">
        <f aca="false">IF(OR($C15="",$D15=""),"",IF(AND(P$3&lt;=$D15,P$3+6&gt;=$C15),IF(AND($D15&gt;=P$3,$D15&lt;=P$3+6),2,1),""))</f>
        <v/>
      </c>
      <c r="Q15" s="29" t="str">
        <f aca="false">IF(OR($C15="",$D15=""),"",IF(AND(Q$3&lt;=$D15,Q$3+6&gt;=$C15),IF(AND($D15&gt;=Q$3,$D15&lt;=Q$3+6),2,1),""))</f>
        <v/>
      </c>
      <c r="R15" s="29" t="str">
        <f aca="false">IF(OR($C15="",$D15=""),"",IF(AND(R$3&lt;=$D15,R$3+6&gt;=$C15),IF(AND($D15&gt;=R$3,$D15&lt;=R$3+6),2,1),""))</f>
        <v/>
      </c>
      <c r="S15" s="29" t="str">
        <f aca="false">IF(OR($C15="",$D15=""),"",IF(AND(S$3&lt;=$D15,S$3+6&gt;=$C15),IF(AND($D15&gt;=S$3,$D15&lt;=S$3+6),2,1),""))</f>
        <v/>
      </c>
      <c r="T15" s="29" t="str">
        <f aca="false">IF(OR($C15="",$D15=""),"",IF(AND(T$3&lt;=$D15,T$3+6&gt;=$C15),IF(AND($D15&gt;=T$3,$D15&lt;=T$3+6),2,1),""))</f>
        <v/>
      </c>
      <c r="U15" s="29" t="str">
        <f aca="false">IF(OR($C15="",$D15=""),"",IF(AND(U$3&lt;=$D15,U$3+6&gt;=$C15),IF(AND($D15&gt;=U$3,$D15&lt;=U$3+6),2,1),""))</f>
        <v/>
      </c>
      <c r="V15" s="29" t="str">
        <f aca="false">IF(OR($C15="",$D15=""),"",IF(AND(V$3&lt;=$D15,V$3+6&gt;=$C15),IF(AND($D15&gt;=V$3,$D15&lt;=V$3+6),2,1),""))</f>
        <v/>
      </c>
      <c r="W15" s="29" t="str">
        <f aca="false">IF(OR($C15="",$D15=""),"",IF(AND(W$3&lt;=$D15,W$3+6&gt;=$C15),IF(AND($D15&gt;=W$3,$D15&lt;=W$3+6),2,1),""))</f>
        <v/>
      </c>
      <c r="X15" s="29" t="str">
        <f aca="false">IF(OR($C15="",$D15=""),"",IF(AND(X$3&lt;=$D15,X$3+6&gt;=$C15),IF(AND($D15&gt;=X$3,$D15&lt;=X$3+6),2,1),""))</f>
        <v/>
      </c>
      <c r="Y15" s="29" t="str">
        <f aca="false">IF(OR($C15="",$D15=""),"",IF(AND(Y$3&lt;=$D15,Y$3+6&gt;=$C15),IF(AND($D15&gt;=Y$3,$D15&lt;=Y$3+6),2,1),""))</f>
        <v/>
      </c>
      <c r="Z15" s="29" t="str">
        <f aca="false">IF(OR($C15="",$D15=""),"",IF(AND(Z$3&lt;=$D15,Z$3+6&gt;=$C15),IF(AND($D15&gt;=Z$3,$D15&lt;=Z$3+6),2,1),""))</f>
        <v/>
      </c>
      <c r="AA15" s="29" t="str">
        <f aca="false">IF(OR($C15="",$D15=""),"",IF(AND(AA$3&lt;=$D15,AA$3+6&gt;=$C15),IF(AND($D15&gt;=AA$3,$D15&lt;=AA$3+6),2,1),""))</f>
        <v/>
      </c>
      <c r="AB15" s="29" t="str">
        <f aca="false">IF(OR($C15="",$D15=""),"",IF(AND(AB$3&lt;=$D15,AB$3+6&gt;=$C15),IF(AND($D15&gt;=AB$3,$D15&lt;=AB$3+6),2,1),""))</f>
        <v/>
      </c>
      <c r="AC15" s="29" t="str">
        <f aca="false">IF(OR($C15="",$D15=""),"",IF(AND(AC$3&lt;=$D15,AC$3+6&gt;=$C15),IF(AND($D15&gt;=AC$3,$D15&lt;=AC$3+6),2,1),""))</f>
        <v/>
      </c>
      <c r="AD15" s="29" t="str">
        <f aca="false">IF(OR($C15="",$D15=""),"",IF(AND(AD$3&lt;=$D15,AD$3+6&gt;=$C15),IF(AND($D15&gt;=AD$3,$D15&lt;=AD$3+6),2,1),""))</f>
        <v/>
      </c>
      <c r="AE15" s="29" t="str">
        <f aca="false">IF(OR($C15="",$D15=""),"",IF(AND(AE$3&lt;=$D15,AE$3+6&gt;=$C15),IF(AND($D15&gt;=AE$3,$D15&lt;=AE$3+6),2,1),""))</f>
        <v/>
      </c>
      <c r="AF15" s="29" t="str">
        <f aca="false">IF(OR($C15="",$D15=""),"",IF(AND(AF$3&lt;=$D15,AF$3+6&gt;=$C15),IF(AND($D15&gt;=AF$3,$D15&lt;=AF$3+6),2,1),""))</f>
        <v/>
      </c>
      <c r="AG15" s="29" t="str">
        <f aca="false">IF(OR($C15="",$D15=""),"",IF(AND(AG$3&lt;=$D15,AG$3+6&gt;=$C15),IF(AND($D15&gt;=AG$3,$D15&lt;=AG$3+6),2,1),""))</f>
        <v/>
      </c>
      <c r="AH15" s="29" t="str">
        <f aca="false">IF(OR($C15="",$D15=""),"",IF(AND(AH$3&lt;=$D15,AH$3+6&gt;=$C15),IF(AND($D15&gt;=AH$3,$D15&lt;=AH$3+6),2,1),""))</f>
        <v/>
      </c>
      <c r="AI15" s="29" t="str">
        <f aca="false">IF(OR($C15="",$D15=""),"",IF(AND(AI$3&lt;=$D15,AI$3+6&gt;=$C15),IF(AND($D15&gt;=AI$3,$D15&lt;=AI$3+6),2,1),""))</f>
        <v/>
      </c>
      <c r="AJ15" s="29" t="str">
        <f aca="false">IF(OR($C15="",$D15=""),"",IF(AND(AJ$3&lt;=$D15,AJ$3+6&gt;=$C15),IF(AND($D15&gt;=AJ$3,$D15&lt;=AJ$3+6),2,1),""))</f>
        <v/>
      </c>
      <c r="AK15" s="29" t="str">
        <f aca="false">IF(OR($C15="",$D15=""),"",IF(AND(AK$3&lt;=$D15,AK$3+6&gt;=$C15),IF(AND($D15&gt;=AK$3,$D15&lt;=AK$3+6),2,1),""))</f>
        <v/>
      </c>
      <c r="AL15" s="29" t="str">
        <f aca="false">IF(OR($C15="",$D15=""),"",IF(AND(AL$3&lt;=$D15,AL$3+6&gt;=$C15),IF(AND($D15&gt;=AL$3,$D15&lt;=AL$3+6),2,1),""))</f>
        <v/>
      </c>
      <c r="AM15" s="29" t="str">
        <f aca="false">IF(OR($C15="",$D15=""),"",IF(AND(AM$3&lt;=$D15,AM$3+6&gt;=$C15),IF(AND($D15&gt;=AM$3,$D15&lt;=AM$3+6),2,1),""))</f>
        <v/>
      </c>
      <c r="AN15" s="29" t="str">
        <f aca="false">IF(OR($C15="",$D15=""),"",IF(AND(AN$3&lt;=$D15,AN$3+6&gt;=$C15),IF(AND($D15&gt;=AN$3,$D15&lt;=AN$3+6),2,1),""))</f>
        <v/>
      </c>
      <c r="AO15" s="29" t="str">
        <f aca="false">IF(OR($C15="",$D15=""),"",IF(AND(AO$3&lt;=$D15,AO$3+6&gt;=$C15),IF(AND($D15&gt;=AO$3,$D15&lt;=AO$3+6),2,1),""))</f>
        <v/>
      </c>
      <c r="AP15" s="29" t="str">
        <f aca="false">IF(OR($C15="",$D15=""),"",IF(AND(AP$3&lt;=$D15,AP$3+6&gt;=$C15),IF(AND($D15&gt;=AP$3,$D15&lt;=AP$3+6),2,1),""))</f>
        <v/>
      </c>
      <c r="AQ15" s="29" t="str">
        <f aca="false">IF(OR($C15="",$D15=""),"",IF(AND(AQ$3&lt;=$D15,AQ$3+6&gt;=$C15),IF(AND($D15&gt;=AQ$3,$D15&lt;=AQ$3+6),2,1),""))</f>
        <v/>
      </c>
      <c r="AR15" s="29" t="str">
        <f aca="false">IF(OR($C15="",$D15=""),"",IF(AND(AR$3&lt;=$D15,AR$3+6&gt;=$C15),IF(AND($D15&gt;=AR$3,$D15&lt;=AR$3+6),2,1),""))</f>
        <v/>
      </c>
      <c r="AS15" s="29" t="str">
        <f aca="false">IF(OR($C15="",$D15=""),"",IF(AND(AS$3&lt;=$D15,AS$3+6&gt;=$C15),IF(AND($D15&gt;=AS$3,$D15&lt;=AS$3+6),2,1),""))</f>
        <v/>
      </c>
      <c r="AT15" s="29" t="str">
        <f aca="false">IF(OR($C15="",$D15=""),"",IF(AND(AT$3&lt;=$D15,AT$3+6&gt;=$C15),IF(AND($D15&gt;=AT$3,$D15&lt;=AT$3+6),2,1),""))</f>
        <v/>
      </c>
      <c r="AU15" s="29" t="str">
        <f aca="false">IF(OR($C15="",$D15=""),"",IF(AND(AU$3&lt;=$D15,AU$3+6&gt;=$C15),IF(AND($D15&gt;=AU$3,$D15&lt;=AU$3+6),2,1),""))</f>
        <v/>
      </c>
      <c r="AV15" s="29" t="str">
        <f aca="false">IF(OR($C15="",$D15=""),"",IF(AND(AV$3&lt;=$D15,AV$3+6&gt;=$C15),IF(AND($D15&gt;=AV$3,$D15&lt;=AV$3+6),2,1),""))</f>
        <v/>
      </c>
      <c r="AW15" s="29" t="str">
        <f aca="false">IF(OR($C15="",$D15=""),"",IF(AND(AW$3&lt;=$D15,AW$3+6&gt;=$C15),IF(AND($D15&gt;=AW$3,$D15&lt;=AW$3+6),2,1),""))</f>
        <v/>
      </c>
      <c r="AX15" s="29" t="str">
        <f aca="false">IF(OR($C15="",$D15=""),"",IF(AND(AX$3&lt;=$D15,AX$3+6&gt;=$C15),IF(AND($D15&gt;=AX$3,$D15&lt;=AX$3+6),2,1),""))</f>
        <v/>
      </c>
      <c r="AY15" s="29" t="str">
        <f aca="false">IF(OR($C15="",$D15=""),"",IF(AND(AY$3&lt;=$D15,AY$3+6&gt;=$C15),IF(AND($D15&gt;=AY$3,$D15&lt;=AY$3+6),2,1),""))</f>
        <v/>
      </c>
      <c r="AZ15" s="29" t="str">
        <f aca="false">IF(OR($C15="",$D15=""),"",IF(AND(AZ$3&lt;=$D15,AZ$3+6&gt;=$C15),IF(AND($D15&gt;=AZ$3,$D15&lt;=AZ$3+6),2,1),""))</f>
        <v/>
      </c>
      <c r="BA15" s="29" t="str">
        <f aca="false">IF(OR($C15="",$D15=""),"",IF(AND(BA$3&lt;=$D15,BA$3+6&gt;=$C15),IF(AND($D15&gt;=BA$3,$D15&lt;=BA$3+6),2,1),""))</f>
        <v/>
      </c>
      <c r="BB15" s="29" t="str">
        <f aca="false">IF(OR($C15="",$D15=""),"",IF(AND(BB$3&lt;=$D15,BB$3+6&gt;=$C15),IF(AND($D15&gt;=BB$3,$D15&lt;=BB$3+6),2,1),""))</f>
        <v/>
      </c>
      <c r="BC15" s="29" t="str">
        <f aca="false">IF(OR($C15="",$D15=""),"",IF(AND(BC$3&lt;=$D15,BC$3+6&gt;=$C15),IF(AND($D15&gt;=BC$3,$D15&lt;=BC$3+6),2,1),""))</f>
        <v/>
      </c>
      <c r="BD15" s="29" t="str">
        <f aca="false">IF(OR($C15="",$D15=""),"",IF(AND(BD$3&lt;=$D15,BD$3+6&gt;=$C15),IF(AND($D15&gt;=BD$3,$D15&lt;=BD$3+6),2,1),""))</f>
        <v/>
      </c>
      <c r="BE15" s="29" t="str">
        <f aca="false">IF(OR($C15="",$D15=""),"",IF(AND(BE$3&lt;=$D15,BE$3+6&gt;=$C15),IF(AND($D15&gt;=BE$3,$D15&lt;=BE$3+6),2,1),""))</f>
        <v/>
      </c>
      <c r="BF15" s="29" t="str">
        <f aca="false">IF(OR($C15="",$D15=""),"",IF(AND(BF$3&lt;=$D15,BF$3+6&gt;=$C15),IF(AND($D15&gt;=BF$3,$D15&lt;=BF$3+6),2,1),""))</f>
        <v/>
      </c>
    </row>
    <row r="16" customFormat="false" ht="15" hidden="false" customHeight="true" outlineLevel="0" collapsed="false">
      <c r="A16" s="16" t="s">
        <v>137</v>
      </c>
      <c r="B16" s="27" t="str">
        <f aca="false">IFERROR(INDEX(Plan!$C$2:$C$400,MATCH($A16,Plan!$A$2:$A$400,0)),"")</f>
        <v>Feature-level flow records for the pilot team</v>
      </c>
      <c r="C16" s="28" t="n">
        <f aca="false">IFERROR(INDEX(Plan!$I$2:$I$400,MATCH($A16,Plan!$A$2:$A$400,0)),"")</f>
        <v>46328</v>
      </c>
      <c r="D16" s="28" t="n">
        <f aca="false">IFERROR(INDEX(Plan!$J$2:$J$400,MATCH($A16,Plan!$A$2:$A$400,0)),"")</f>
        <v>46353</v>
      </c>
      <c r="E16" s="29" t="str">
        <f aca="false">IF(OR($C16="",$D16=""),"",IF(AND(E$3&lt;=$D16,E$3+6&gt;=$C16),IF(AND($D16&gt;=E$3,$D16&lt;=E$3+6),2,1),""))</f>
        <v/>
      </c>
      <c r="F16" s="29" t="n">
        <f aca="false">IF(OR($C16="",$D16=""),"",IF(AND(F$3&lt;=$D16,F$3+6&gt;=$C16),IF(AND($D16&gt;=F$3,$D16&lt;=F$3+6),2,1),""))</f>
        <v>1</v>
      </c>
      <c r="G16" s="29" t="n">
        <f aca="false">IF(OR($C16="",$D16=""),"",IF(AND(G$3&lt;=$D16,G$3+6&gt;=$C16),IF(AND($D16&gt;=G$3,$D16&lt;=G$3+6),2,1),""))</f>
        <v>1</v>
      </c>
      <c r="H16" s="29" t="n">
        <f aca="false">IF(OR($C16="",$D16=""),"",IF(AND(H$3&lt;=$D16,H$3+6&gt;=$C16),IF(AND($D16&gt;=H$3,$D16&lt;=H$3+6),2,1),""))</f>
        <v>1</v>
      </c>
      <c r="I16" s="29" t="n">
        <f aca="false">IF(OR($C16="",$D16=""),"",IF(AND(I$3&lt;=$D16,I$3+6&gt;=$C16),IF(AND($D16&gt;=I$3,$D16&lt;=I$3+6),2,1),""))</f>
        <v>2</v>
      </c>
      <c r="J16" s="29" t="str">
        <f aca="false">IF(OR($C16="",$D16=""),"",IF(AND(J$3&lt;=$D16,J$3+6&gt;=$C16),IF(AND($D16&gt;=J$3,$D16&lt;=J$3+6),2,1),""))</f>
        <v/>
      </c>
      <c r="K16" s="29" t="str">
        <f aca="false">IF(OR($C16="",$D16=""),"",IF(AND(K$3&lt;=$D16,K$3+6&gt;=$C16),IF(AND($D16&gt;=K$3,$D16&lt;=K$3+6),2,1),""))</f>
        <v/>
      </c>
      <c r="L16" s="29" t="str">
        <f aca="false">IF(OR($C16="",$D16=""),"",IF(AND(L$3&lt;=$D16,L$3+6&gt;=$C16),IF(AND($D16&gt;=L$3,$D16&lt;=L$3+6),2,1),""))</f>
        <v/>
      </c>
      <c r="M16" s="29" t="str">
        <f aca="false">IF(OR($C16="",$D16=""),"",IF(AND(M$3&lt;=$D16,M$3+6&gt;=$C16),IF(AND($D16&gt;=M$3,$D16&lt;=M$3+6),2,1),""))</f>
        <v/>
      </c>
      <c r="N16" s="29" t="str">
        <f aca="false">IF(OR($C16="",$D16=""),"",IF(AND(N$3&lt;=$D16,N$3+6&gt;=$C16),IF(AND($D16&gt;=N$3,$D16&lt;=N$3+6),2,1),""))</f>
        <v/>
      </c>
      <c r="O16" s="29" t="str">
        <f aca="false">IF(OR($C16="",$D16=""),"",IF(AND(O$3&lt;=$D16,O$3+6&gt;=$C16),IF(AND($D16&gt;=O$3,$D16&lt;=O$3+6),2,1),""))</f>
        <v/>
      </c>
      <c r="P16" s="29" t="str">
        <f aca="false">IF(OR($C16="",$D16=""),"",IF(AND(P$3&lt;=$D16,P$3+6&gt;=$C16),IF(AND($D16&gt;=P$3,$D16&lt;=P$3+6),2,1),""))</f>
        <v/>
      </c>
      <c r="Q16" s="29" t="str">
        <f aca="false">IF(OR($C16="",$D16=""),"",IF(AND(Q$3&lt;=$D16,Q$3+6&gt;=$C16),IF(AND($D16&gt;=Q$3,$D16&lt;=Q$3+6),2,1),""))</f>
        <v/>
      </c>
      <c r="R16" s="29" t="str">
        <f aca="false">IF(OR($C16="",$D16=""),"",IF(AND(R$3&lt;=$D16,R$3+6&gt;=$C16),IF(AND($D16&gt;=R$3,$D16&lt;=R$3+6),2,1),""))</f>
        <v/>
      </c>
      <c r="S16" s="29" t="str">
        <f aca="false">IF(OR($C16="",$D16=""),"",IF(AND(S$3&lt;=$D16,S$3+6&gt;=$C16),IF(AND($D16&gt;=S$3,$D16&lt;=S$3+6),2,1),""))</f>
        <v/>
      </c>
      <c r="T16" s="29" t="str">
        <f aca="false">IF(OR($C16="",$D16=""),"",IF(AND(T$3&lt;=$D16,T$3+6&gt;=$C16),IF(AND($D16&gt;=T$3,$D16&lt;=T$3+6),2,1),""))</f>
        <v/>
      </c>
      <c r="U16" s="29" t="str">
        <f aca="false">IF(OR($C16="",$D16=""),"",IF(AND(U$3&lt;=$D16,U$3+6&gt;=$C16),IF(AND($D16&gt;=U$3,$D16&lt;=U$3+6),2,1),""))</f>
        <v/>
      </c>
      <c r="V16" s="29" t="str">
        <f aca="false">IF(OR($C16="",$D16=""),"",IF(AND(V$3&lt;=$D16,V$3+6&gt;=$C16),IF(AND($D16&gt;=V$3,$D16&lt;=V$3+6),2,1),""))</f>
        <v/>
      </c>
      <c r="W16" s="29" t="str">
        <f aca="false">IF(OR($C16="",$D16=""),"",IF(AND(W$3&lt;=$D16,W$3+6&gt;=$C16),IF(AND($D16&gt;=W$3,$D16&lt;=W$3+6),2,1),""))</f>
        <v/>
      </c>
      <c r="X16" s="29" t="str">
        <f aca="false">IF(OR($C16="",$D16=""),"",IF(AND(X$3&lt;=$D16,X$3+6&gt;=$C16),IF(AND($D16&gt;=X$3,$D16&lt;=X$3+6),2,1),""))</f>
        <v/>
      </c>
      <c r="Y16" s="29" t="str">
        <f aca="false">IF(OR($C16="",$D16=""),"",IF(AND(Y$3&lt;=$D16,Y$3+6&gt;=$C16),IF(AND($D16&gt;=Y$3,$D16&lt;=Y$3+6),2,1),""))</f>
        <v/>
      </c>
      <c r="Z16" s="29" t="str">
        <f aca="false">IF(OR($C16="",$D16=""),"",IF(AND(Z$3&lt;=$D16,Z$3+6&gt;=$C16),IF(AND($D16&gt;=Z$3,$D16&lt;=Z$3+6),2,1),""))</f>
        <v/>
      </c>
      <c r="AA16" s="29" t="str">
        <f aca="false">IF(OR($C16="",$D16=""),"",IF(AND(AA$3&lt;=$D16,AA$3+6&gt;=$C16),IF(AND($D16&gt;=AA$3,$D16&lt;=AA$3+6),2,1),""))</f>
        <v/>
      </c>
      <c r="AB16" s="29" t="str">
        <f aca="false">IF(OR($C16="",$D16=""),"",IF(AND(AB$3&lt;=$D16,AB$3+6&gt;=$C16),IF(AND($D16&gt;=AB$3,$D16&lt;=AB$3+6),2,1),""))</f>
        <v/>
      </c>
      <c r="AC16" s="29" t="str">
        <f aca="false">IF(OR($C16="",$D16=""),"",IF(AND(AC$3&lt;=$D16,AC$3+6&gt;=$C16),IF(AND($D16&gt;=AC$3,$D16&lt;=AC$3+6),2,1),""))</f>
        <v/>
      </c>
      <c r="AD16" s="29" t="str">
        <f aca="false">IF(OR($C16="",$D16=""),"",IF(AND(AD$3&lt;=$D16,AD$3+6&gt;=$C16),IF(AND($D16&gt;=AD$3,$D16&lt;=AD$3+6),2,1),""))</f>
        <v/>
      </c>
      <c r="AE16" s="29" t="str">
        <f aca="false">IF(OR($C16="",$D16=""),"",IF(AND(AE$3&lt;=$D16,AE$3+6&gt;=$C16),IF(AND($D16&gt;=AE$3,$D16&lt;=AE$3+6),2,1),""))</f>
        <v/>
      </c>
      <c r="AF16" s="29" t="str">
        <f aca="false">IF(OR($C16="",$D16=""),"",IF(AND(AF$3&lt;=$D16,AF$3+6&gt;=$C16),IF(AND($D16&gt;=AF$3,$D16&lt;=AF$3+6),2,1),""))</f>
        <v/>
      </c>
      <c r="AG16" s="29" t="str">
        <f aca="false">IF(OR($C16="",$D16=""),"",IF(AND(AG$3&lt;=$D16,AG$3+6&gt;=$C16),IF(AND($D16&gt;=AG$3,$D16&lt;=AG$3+6),2,1),""))</f>
        <v/>
      </c>
      <c r="AH16" s="29" t="str">
        <f aca="false">IF(OR($C16="",$D16=""),"",IF(AND(AH$3&lt;=$D16,AH$3+6&gt;=$C16),IF(AND($D16&gt;=AH$3,$D16&lt;=AH$3+6),2,1),""))</f>
        <v/>
      </c>
      <c r="AI16" s="29" t="str">
        <f aca="false">IF(OR($C16="",$D16=""),"",IF(AND(AI$3&lt;=$D16,AI$3+6&gt;=$C16),IF(AND($D16&gt;=AI$3,$D16&lt;=AI$3+6),2,1),""))</f>
        <v/>
      </c>
      <c r="AJ16" s="29" t="str">
        <f aca="false">IF(OR($C16="",$D16=""),"",IF(AND(AJ$3&lt;=$D16,AJ$3+6&gt;=$C16),IF(AND($D16&gt;=AJ$3,$D16&lt;=AJ$3+6),2,1),""))</f>
        <v/>
      </c>
      <c r="AK16" s="29" t="str">
        <f aca="false">IF(OR($C16="",$D16=""),"",IF(AND(AK$3&lt;=$D16,AK$3+6&gt;=$C16),IF(AND($D16&gt;=AK$3,$D16&lt;=AK$3+6),2,1),""))</f>
        <v/>
      </c>
      <c r="AL16" s="29" t="str">
        <f aca="false">IF(OR($C16="",$D16=""),"",IF(AND(AL$3&lt;=$D16,AL$3+6&gt;=$C16),IF(AND($D16&gt;=AL$3,$D16&lt;=AL$3+6),2,1),""))</f>
        <v/>
      </c>
      <c r="AM16" s="29" t="str">
        <f aca="false">IF(OR($C16="",$D16=""),"",IF(AND(AM$3&lt;=$D16,AM$3+6&gt;=$C16),IF(AND($D16&gt;=AM$3,$D16&lt;=AM$3+6),2,1),""))</f>
        <v/>
      </c>
      <c r="AN16" s="29" t="str">
        <f aca="false">IF(OR($C16="",$D16=""),"",IF(AND(AN$3&lt;=$D16,AN$3+6&gt;=$C16),IF(AND($D16&gt;=AN$3,$D16&lt;=AN$3+6),2,1),""))</f>
        <v/>
      </c>
      <c r="AO16" s="29" t="str">
        <f aca="false">IF(OR($C16="",$D16=""),"",IF(AND(AO$3&lt;=$D16,AO$3+6&gt;=$C16),IF(AND($D16&gt;=AO$3,$D16&lt;=AO$3+6),2,1),""))</f>
        <v/>
      </c>
      <c r="AP16" s="29" t="str">
        <f aca="false">IF(OR($C16="",$D16=""),"",IF(AND(AP$3&lt;=$D16,AP$3+6&gt;=$C16),IF(AND($D16&gt;=AP$3,$D16&lt;=AP$3+6),2,1),""))</f>
        <v/>
      </c>
      <c r="AQ16" s="29" t="str">
        <f aca="false">IF(OR($C16="",$D16=""),"",IF(AND(AQ$3&lt;=$D16,AQ$3+6&gt;=$C16),IF(AND($D16&gt;=AQ$3,$D16&lt;=AQ$3+6),2,1),""))</f>
        <v/>
      </c>
      <c r="AR16" s="29" t="str">
        <f aca="false">IF(OR($C16="",$D16=""),"",IF(AND(AR$3&lt;=$D16,AR$3+6&gt;=$C16),IF(AND($D16&gt;=AR$3,$D16&lt;=AR$3+6),2,1),""))</f>
        <v/>
      </c>
      <c r="AS16" s="29" t="str">
        <f aca="false">IF(OR($C16="",$D16=""),"",IF(AND(AS$3&lt;=$D16,AS$3+6&gt;=$C16),IF(AND($D16&gt;=AS$3,$D16&lt;=AS$3+6),2,1),""))</f>
        <v/>
      </c>
      <c r="AT16" s="29" t="str">
        <f aca="false">IF(OR($C16="",$D16=""),"",IF(AND(AT$3&lt;=$D16,AT$3+6&gt;=$C16),IF(AND($D16&gt;=AT$3,$D16&lt;=AT$3+6),2,1),""))</f>
        <v/>
      </c>
      <c r="AU16" s="29" t="str">
        <f aca="false">IF(OR($C16="",$D16=""),"",IF(AND(AU$3&lt;=$D16,AU$3+6&gt;=$C16),IF(AND($D16&gt;=AU$3,$D16&lt;=AU$3+6),2,1),""))</f>
        <v/>
      </c>
      <c r="AV16" s="29" t="str">
        <f aca="false">IF(OR($C16="",$D16=""),"",IF(AND(AV$3&lt;=$D16,AV$3+6&gt;=$C16),IF(AND($D16&gt;=AV$3,$D16&lt;=AV$3+6),2,1),""))</f>
        <v/>
      </c>
      <c r="AW16" s="29" t="str">
        <f aca="false">IF(OR($C16="",$D16=""),"",IF(AND(AW$3&lt;=$D16,AW$3+6&gt;=$C16),IF(AND($D16&gt;=AW$3,$D16&lt;=AW$3+6),2,1),""))</f>
        <v/>
      </c>
      <c r="AX16" s="29" t="str">
        <f aca="false">IF(OR($C16="",$D16=""),"",IF(AND(AX$3&lt;=$D16,AX$3+6&gt;=$C16),IF(AND($D16&gt;=AX$3,$D16&lt;=AX$3+6),2,1),""))</f>
        <v/>
      </c>
      <c r="AY16" s="29" t="str">
        <f aca="false">IF(OR($C16="",$D16=""),"",IF(AND(AY$3&lt;=$D16,AY$3+6&gt;=$C16),IF(AND($D16&gt;=AY$3,$D16&lt;=AY$3+6),2,1),""))</f>
        <v/>
      </c>
      <c r="AZ16" s="29" t="str">
        <f aca="false">IF(OR($C16="",$D16=""),"",IF(AND(AZ$3&lt;=$D16,AZ$3+6&gt;=$C16),IF(AND($D16&gt;=AZ$3,$D16&lt;=AZ$3+6),2,1),""))</f>
        <v/>
      </c>
      <c r="BA16" s="29" t="str">
        <f aca="false">IF(OR($C16="",$D16=""),"",IF(AND(BA$3&lt;=$D16,BA$3+6&gt;=$C16),IF(AND($D16&gt;=BA$3,$D16&lt;=BA$3+6),2,1),""))</f>
        <v/>
      </c>
      <c r="BB16" s="29" t="str">
        <f aca="false">IF(OR($C16="",$D16=""),"",IF(AND(BB$3&lt;=$D16,BB$3+6&gt;=$C16),IF(AND($D16&gt;=BB$3,$D16&lt;=BB$3+6),2,1),""))</f>
        <v/>
      </c>
      <c r="BC16" s="29" t="str">
        <f aca="false">IF(OR($C16="",$D16=""),"",IF(AND(BC$3&lt;=$D16,BC$3+6&gt;=$C16),IF(AND($D16&gt;=BC$3,$D16&lt;=BC$3+6),2,1),""))</f>
        <v/>
      </c>
      <c r="BD16" s="29" t="str">
        <f aca="false">IF(OR($C16="",$D16=""),"",IF(AND(BD$3&lt;=$D16,BD$3+6&gt;=$C16),IF(AND($D16&gt;=BD$3,$D16&lt;=BD$3+6),2,1),""))</f>
        <v/>
      </c>
      <c r="BE16" s="29" t="str">
        <f aca="false">IF(OR($C16="",$D16=""),"",IF(AND(BE$3&lt;=$D16,BE$3+6&gt;=$C16),IF(AND($D16&gt;=BE$3,$D16&lt;=BE$3+6),2,1),""))</f>
        <v/>
      </c>
      <c r="BF16" s="29" t="str">
        <f aca="false">IF(OR($C16="",$D16=""),"",IF(AND(BF$3&lt;=$D16,BF$3+6&gt;=$C16),IF(AND($D16&gt;=BF$3,$D16&lt;=BF$3+6),2,1),""))</f>
        <v/>
      </c>
    </row>
    <row r="17" customFormat="false" ht="15" hidden="false" customHeight="true" outlineLevel="0" collapsed="false">
      <c r="A17" s="16" t="s">
        <v>144</v>
      </c>
      <c r="B17" s="27" t="str">
        <f aca="false">IFERROR(INDEX(Plan!$C$2:$C$400,MATCH($A17,Plan!$A$2:$A$400,0)),"")</f>
        <v>Scale feature-level records</v>
      </c>
      <c r="C17" s="28" t="n">
        <f aca="false">IFERROR(INDEX(Plan!$I$2:$I$400,MATCH($A17,Plan!$A$2:$A$400,0)),"")</f>
        <v>46391</v>
      </c>
      <c r="D17" s="28" t="n">
        <f aca="false">IFERROR(INDEX(Plan!$J$2:$J$400,MATCH($A17,Plan!$A$2:$A$400,0)),"")</f>
        <v>46507</v>
      </c>
      <c r="E17" s="29" t="str">
        <f aca="false">IF(OR($C17="",$D17=""),"",IF(AND(E$3&lt;=$D17,E$3+6&gt;=$C17),IF(AND($D17&gt;=E$3,$D17&lt;=E$3+6),2,1),""))</f>
        <v/>
      </c>
      <c r="F17" s="29" t="str">
        <f aca="false">IF(OR($C17="",$D17=""),"",IF(AND(F$3&lt;=$D17,F$3+6&gt;=$C17),IF(AND($D17&gt;=F$3,$D17&lt;=F$3+6),2,1),""))</f>
        <v/>
      </c>
      <c r="G17" s="29" t="str">
        <f aca="false">IF(OR($C17="",$D17=""),"",IF(AND(G$3&lt;=$D17,G$3+6&gt;=$C17),IF(AND($D17&gt;=G$3,$D17&lt;=G$3+6),2,1),""))</f>
        <v/>
      </c>
      <c r="H17" s="29" t="str">
        <f aca="false">IF(OR($C17="",$D17=""),"",IF(AND(H$3&lt;=$D17,H$3+6&gt;=$C17),IF(AND($D17&gt;=H$3,$D17&lt;=H$3+6),2,1),""))</f>
        <v/>
      </c>
      <c r="I17" s="29" t="str">
        <f aca="false">IF(OR($C17="",$D17=""),"",IF(AND(I$3&lt;=$D17,I$3+6&gt;=$C17),IF(AND($D17&gt;=I$3,$D17&lt;=I$3+6),2,1),""))</f>
        <v/>
      </c>
      <c r="J17" s="29" t="str">
        <f aca="false">IF(OR($C17="",$D17=""),"",IF(AND(J$3&lt;=$D17,J$3+6&gt;=$C17),IF(AND($D17&gt;=J$3,$D17&lt;=J$3+6),2,1),""))</f>
        <v/>
      </c>
      <c r="K17" s="29" t="str">
        <f aca="false">IF(OR($C17="",$D17=""),"",IF(AND(K$3&lt;=$D17,K$3+6&gt;=$C17),IF(AND($D17&gt;=K$3,$D17&lt;=K$3+6),2,1),""))</f>
        <v/>
      </c>
      <c r="L17" s="29" t="str">
        <f aca="false">IF(OR($C17="",$D17=""),"",IF(AND(L$3&lt;=$D17,L$3+6&gt;=$C17),IF(AND($D17&gt;=L$3,$D17&lt;=L$3+6),2,1),""))</f>
        <v/>
      </c>
      <c r="M17" s="29" t="str">
        <f aca="false">IF(OR($C17="",$D17=""),"",IF(AND(M$3&lt;=$D17,M$3+6&gt;=$C17),IF(AND($D17&gt;=M$3,$D17&lt;=M$3+6),2,1),""))</f>
        <v/>
      </c>
      <c r="N17" s="29" t="str">
        <f aca="false">IF(OR($C17="",$D17=""),"",IF(AND(N$3&lt;=$D17,N$3+6&gt;=$C17),IF(AND($D17&gt;=N$3,$D17&lt;=N$3+6),2,1),""))</f>
        <v/>
      </c>
      <c r="O17" s="29" t="n">
        <f aca="false">IF(OR($C17="",$D17=""),"",IF(AND(O$3&lt;=$D17,O$3+6&gt;=$C17),IF(AND($D17&gt;=O$3,$D17&lt;=O$3+6),2,1),""))</f>
        <v>1</v>
      </c>
      <c r="P17" s="29" t="n">
        <f aca="false">IF(OR($C17="",$D17=""),"",IF(AND(P$3&lt;=$D17,P$3+6&gt;=$C17),IF(AND($D17&gt;=P$3,$D17&lt;=P$3+6),2,1),""))</f>
        <v>1</v>
      </c>
      <c r="Q17" s="29" t="n">
        <f aca="false">IF(OR($C17="",$D17=""),"",IF(AND(Q$3&lt;=$D17,Q$3+6&gt;=$C17),IF(AND($D17&gt;=Q$3,$D17&lt;=Q$3+6),2,1),""))</f>
        <v>1</v>
      </c>
      <c r="R17" s="29" t="n">
        <f aca="false">IF(OR($C17="",$D17=""),"",IF(AND(R$3&lt;=$D17,R$3+6&gt;=$C17),IF(AND($D17&gt;=R$3,$D17&lt;=R$3+6),2,1),""))</f>
        <v>1</v>
      </c>
      <c r="S17" s="29" t="n">
        <f aca="false">IF(OR($C17="",$D17=""),"",IF(AND(S$3&lt;=$D17,S$3+6&gt;=$C17),IF(AND($D17&gt;=S$3,$D17&lt;=S$3+6),2,1),""))</f>
        <v>1</v>
      </c>
      <c r="T17" s="29" t="n">
        <f aca="false">IF(OR($C17="",$D17=""),"",IF(AND(T$3&lt;=$D17,T$3+6&gt;=$C17),IF(AND($D17&gt;=T$3,$D17&lt;=T$3+6),2,1),""))</f>
        <v>1</v>
      </c>
      <c r="U17" s="29" t="n">
        <f aca="false">IF(OR($C17="",$D17=""),"",IF(AND(U$3&lt;=$D17,U$3+6&gt;=$C17),IF(AND($D17&gt;=U$3,$D17&lt;=U$3+6),2,1),""))</f>
        <v>1</v>
      </c>
      <c r="V17" s="29" t="n">
        <f aca="false">IF(OR($C17="",$D17=""),"",IF(AND(V$3&lt;=$D17,V$3+6&gt;=$C17),IF(AND($D17&gt;=V$3,$D17&lt;=V$3+6),2,1),""))</f>
        <v>1</v>
      </c>
      <c r="W17" s="29" t="n">
        <f aca="false">IF(OR($C17="",$D17=""),"",IF(AND(W$3&lt;=$D17,W$3+6&gt;=$C17),IF(AND($D17&gt;=W$3,$D17&lt;=W$3+6),2,1),""))</f>
        <v>1</v>
      </c>
      <c r="X17" s="29" t="n">
        <f aca="false">IF(OR($C17="",$D17=""),"",IF(AND(X$3&lt;=$D17,X$3+6&gt;=$C17),IF(AND($D17&gt;=X$3,$D17&lt;=X$3+6),2,1),""))</f>
        <v>1</v>
      </c>
      <c r="Y17" s="29" t="n">
        <f aca="false">IF(OR($C17="",$D17=""),"",IF(AND(Y$3&lt;=$D17,Y$3+6&gt;=$C17),IF(AND($D17&gt;=Y$3,$D17&lt;=Y$3+6),2,1),""))</f>
        <v>1</v>
      </c>
      <c r="Z17" s="29" t="n">
        <f aca="false">IF(OR($C17="",$D17=""),"",IF(AND(Z$3&lt;=$D17,Z$3+6&gt;=$C17),IF(AND($D17&gt;=Z$3,$D17&lt;=Z$3+6),2,1),""))</f>
        <v>1</v>
      </c>
      <c r="AA17" s="29" t="n">
        <f aca="false">IF(OR($C17="",$D17=""),"",IF(AND(AA$3&lt;=$D17,AA$3+6&gt;=$C17),IF(AND($D17&gt;=AA$3,$D17&lt;=AA$3+6),2,1),""))</f>
        <v>1</v>
      </c>
      <c r="AB17" s="29" t="n">
        <f aca="false">IF(OR($C17="",$D17=""),"",IF(AND(AB$3&lt;=$D17,AB$3+6&gt;=$C17),IF(AND($D17&gt;=AB$3,$D17&lt;=AB$3+6),2,1),""))</f>
        <v>1</v>
      </c>
      <c r="AC17" s="29" t="n">
        <f aca="false">IF(OR($C17="",$D17=""),"",IF(AND(AC$3&lt;=$D17,AC$3+6&gt;=$C17),IF(AND($D17&gt;=AC$3,$D17&lt;=AC$3+6),2,1),""))</f>
        <v>1</v>
      </c>
      <c r="AD17" s="29" t="n">
        <f aca="false">IF(OR($C17="",$D17=""),"",IF(AND(AD$3&lt;=$D17,AD$3+6&gt;=$C17),IF(AND($D17&gt;=AD$3,$D17&lt;=AD$3+6),2,1),""))</f>
        <v>1</v>
      </c>
      <c r="AE17" s="29" t="n">
        <f aca="false">IF(OR($C17="",$D17=""),"",IF(AND(AE$3&lt;=$D17,AE$3+6&gt;=$C17),IF(AND($D17&gt;=AE$3,$D17&lt;=AE$3+6),2,1),""))</f>
        <v>2</v>
      </c>
      <c r="AF17" s="29" t="str">
        <f aca="false">IF(OR($C17="",$D17=""),"",IF(AND(AF$3&lt;=$D17,AF$3+6&gt;=$C17),IF(AND($D17&gt;=AF$3,$D17&lt;=AF$3+6),2,1),""))</f>
        <v/>
      </c>
      <c r="AG17" s="29" t="str">
        <f aca="false">IF(OR($C17="",$D17=""),"",IF(AND(AG$3&lt;=$D17,AG$3+6&gt;=$C17),IF(AND($D17&gt;=AG$3,$D17&lt;=AG$3+6),2,1),""))</f>
        <v/>
      </c>
      <c r="AH17" s="29" t="str">
        <f aca="false">IF(OR($C17="",$D17=""),"",IF(AND(AH$3&lt;=$D17,AH$3+6&gt;=$C17),IF(AND($D17&gt;=AH$3,$D17&lt;=AH$3+6),2,1),""))</f>
        <v/>
      </c>
      <c r="AI17" s="29" t="str">
        <f aca="false">IF(OR($C17="",$D17=""),"",IF(AND(AI$3&lt;=$D17,AI$3+6&gt;=$C17),IF(AND($D17&gt;=AI$3,$D17&lt;=AI$3+6),2,1),""))</f>
        <v/>
      </c>
      <c r="AJ17" s="29" t="str">
        <f aca="false">IF(OR($C17="",$D17=""),"",IF(AND(AJ$3&lt;=$D17,AJ$3+6&gt;=$C17),IF(AND($D17&gt;=AJ$3,$D17&lt;=AJ$3+6),2,1),""))</f>
        <v/>
      </c>
      <c r="AK17" s="29" t="str">
        <f aca="false">IF(OR($C17="",$D17=""),"",IF(AND(AK$3&lt;=$D17,AK$3+6&gt;=$C17),IF(AND($D17&gt;=AK$3,$D17&lt;=AK$3+6),2,1),""))</f>
        <v/>
      </c>
      <c r="AL17" s="29" t="str">
        <f aca="false">IF(OR($C17="",$D17=""),"",IF(AND(AL$3&lt;=$D17,AL$3+6&gt;=$C17),IF(AND($D17&gt;=AL$3,$D17&lt;=AL$3+6),2,1),""))</f>
        <v/>
      </c>
      <c r="AM17" s="29" t="str">
        <f aca="false">IF(OR($C17="",$D17=""),"",IF(AND(AM$3&lt;=$D17,AM$3+6&gt;=$C17),IF(AND($D17&gt;=AM$3,$D17&lt;=AM$3+6),2,1),""))</f>
        <v/>
      </c>
      <c r="AN17" s="29" t="str">
        <f aca="false">IF(OR($C17="",$D17=""),"",IF(AND(AN$3&lt;=$D17,AN$3+6&gt;=$C17),IF(AND($D17&gt;=AN$3,$D17&lt;=AN$3+6),2,1),""))</f>
        <v/>
      </c>
      <c r="AO17" s="29" t="str">
        <f aca="false">IF(OR($C17="",$D17=""),"",IF(AND(AO$3&lt;=$D17,AO$3+6&gt;=$C17),IF(AND($D17&gt;=AO$3,$D17&lt;=AO$3+6),2,1),""))</f>
        <v/>
      </c>
      <c r="AP17" s="29" t="str">
        <f aca="false">IF(OR($C17="",$D17=""),"",IF(AND(AP$3&lt;=$D17,AP$3+6&gt;=$C17),IF(AND($D17&gt;=AP$3,$D17&lt;=AP$3+6),2,1),""))</f>
        <v/>
      </c>
      <c r="AQ17" s="29" t="str">
        <f aca="false">IF(OR($C17="",$D17=""),"",IF(AND(AQ$3&lt;=$D17,AQ$3+6&gt;=$C17),IF(AND($D17&gt;=AQ$3,$D17&lt;=AQ$3+6),2,1),""))</f>
        <v/>
      </c>
      <c r="AR17" s="29" t="str">
        <f aca="false">IF(OR($C17="",$D17=""),"",IF(AND(AR$3&lt;=$D17,AR$3+6&gt;=$C17),IF(AND($D17&gt;=AR$3,$D17&lt;=AR$3+6),2,1),""))</f>
        <v/>
      </c>
      <c r="AS17" s="29" t="str">
        <f aca="false">IF(OR($C17="",$D17=""),"",IF(AND(AS$3&lt;=$D17,AS$3+6&gt;=$C17),IF(AND($D17&gt;=AS$3,$D17&lt;=AS$3+6),2,1),""))</f>
        <v/>
      </c>
      <c r="AT17" s="29" t="str">
        <f aca="false">IF(OR($C17="",$D17=""),"",IF(AND(AT$3&lt;=$D17,AT$3+6&gt;=$C17),IF(AND($D17&gt;=AT$3,$D17&lt;=AT$3+6),2,1),""))</f>
        <v/>
      </c>
      <c r="AU17" s="29" t="str">
        <f aca="false">IF(OR($C17="",$D17=""),"",IF(AND(AU$3&lt;=$D17,AU$3+6&gt;=$C17),IF(AND($D17&gt;=AU$3,$D17&lt;=AU$3+6),2,1),""))</f>
        <v/>
      </c>
      <c r="AV17" s="29" t="str">
        <f aca="false">IF(OR($C17="",$D17=""),"",IF(AND(AV$3&lt;=$D17,AV$3+6&gt;=$C17),IF(AND($D17&gt;=AV$3,$D17&lt;=AV$3+6),2,1),""))</f>
        <v/>
      </c>
      <c r="AW17" s="29" t="str">
        <f aca="false">IF(OR($C17="",$D17=""),"",IF(AND(AW$3&lt;=$D17,AW$3+6&gt;=$C17),IF(AND($D17&gt;=AW$3,$D17&lt;=AW$3+6),2,1),""))</f>
        <v/>
      </c>
      <c r="AX17" s="29" t="str">
        <f aca="false">IF(OR($C17="",$D17=""),"",IF(AND(AX$3&lt;=$D17,AX$3+6&gt;=$C17),IF(AND($D17&gt;=AX$3,$D17&lt;=AX$3+6),2,1),""))</f>
        <v/>
      </c>
      <c r="AY17" s="29" t="str">
        <f aca="false">IF(OR($C17="",$D17=""),"",IF(AND(AY$3&lt;=$D17,AY$3+6&gt;=$C17),IF(AND($D17&gt;=AY$3,$D17&lt;=AY$3+6),2,1),""))</f>
        <v/>
      </c>
      <c r="AZ17" s="29" t="str">
        <f aca="false">IF(OR($C17="",$D17=""),"",IF(AND(AZ$3&lt;=$D17,AZ$3+6&gt;=$C17),IF(AND($D17&gt;=AZ$3,$D17&lt;=AZ$3+6),2,1),""))</f>
        <v/>
      </c>
      <c r="BA17" s="29" t="str">
        <f aca="false">IF(OR($C17="",$D17=""),"",IF(AND(BA$3&lt;=$D17,BA$3+6&gt;=$C17),IF(AND($D17&gt;=BA$3,$D17&lt;=BA$3+6),2,1),""))</f>
        <v/>
      </c>
      <c r="BB17" s="29" t="str">
        <f aca="false">IF(OR($C17="",$D17=""),"",IF(AND(BB$3&lt;=$D17,BB$3+6&gt;=$C17),IF(AND($D17&gt;=BB$3,$D17&lt;=BB$3+6),2,1),""))</f>
        <v/>
      </c>
      <c r="BC17" s="29" t="str">
        <f aca="false">IF(OR($C17="",$D17=""),"",IF(AND(BC$3&lt;=$D17,BC$3+6&gt;=$C17),IF(AND($D17&gt;=BC$3,$D17&lt;=BC$3+6),2,1),""))</f>
        <v/>
      </c>
      <c r="BD17" s="29" t="str">
        <f aca="false">IF(OR($C17="",$D17=""),"",IF(AND(BD$3&lt;=$D17,BD$3+6&gt;=$C17),IF(AND($D17&gt;=BD$3,$D17&lt;=BD$3+6),2,1),""))</f>
        <v/>
      </c>
      <c r="BE17" s="29" t="str">
        <f aca="false">IF(OR($C17="",$D17=""),"",IF(AND(BE$3&lt;=$D17,BE$3+6&gt;=$C17),IF(AND($D17&gt;=BE$3,$D17&lt;=BE$3+6),2,1),""))</f>
        <v/>
      </c>
      <c r="BF17" s="29" t="str">
        <f aca="false">IF(OR($C17="",$D17=""),"",IF(AND(BF$3&lt;=$D17,BF$3+6&gt;=$C17),IF(AND($D17&gt;=BF$3,$D17&lt;=BF$3+6),2,1),""))</f>
        <v/>
      </c>
    </row>
    <row r="18" customFormat="false" ht="15" hidden="false" customHeight="true" outlineLevel="0" collapsed="false">
      <c r="A18" s="16" t="s">
        <v>148</v>
      </c>
      <c r="B18" s="27" t="str">
        <f aca="false">IFERROR(INDEX(Plan!$C$2:$C$400,MATCH($A18,Plan!$A$2:$A$400,0)),"")</f>
        <v>Claude Code telemetry for every builder</v>
      </c>
      <c r="C18" s="28" t="n">
        <f aca="false">IFERROR(INDEX(Plan!$I$2:$I$400,MATCH($A18,Plan!$A$2:$A$400,0)),"")</f>
        <v>46328</v>
      </c>
      <c r="D18" s="28" t="n">
        <f aca="false">IFERROR(INDEX(Plan!$J$2:$J$400,MATCH($A18,Plan!$A$2:$A$400,0)),"")</f>
        <v>46339</v>
      </c>
      <c r="E18" s="29" t="str">
        <f aca="false">IF(OR($C18="",$D18=""),"",IF(AND(E$3&lt;=$D18,E$3+6&gt;=$C18),IF(AND($D18&gt;=E$3,$D18&lt;=E$3+6),2,1),""))</f>
        <v/>
      </c>
      <c r="F18" s="29" t="n">
        <f aca="false">IF(OR($C18="",$D18=""),"",IF(AND(F$3&lt;=$D18,F$3+6&gt;=$C18),IF(AND($D18&gt;=F$3,$D18&lt;=F$3+6),2,1),""))</f>
        <v>1</v>
      </c>
      <c r="G18" s="29" t="n">
        <f aca="false">IF(OR($C18="",$D18=""),"",IF(AND(G$3&lt;=$D18,G$3+6&gt;=$C18),IF(AND($D18&gt;=G$3,$D18&lt;=G$3+6),2,1),""))</f>
        <v>2</v>
      </c>
      <c r="H18" s="29" t="str">
        <f aca="false">IF(OR($C18="",$D18=""),"",IF(AND(H$3&lt;=$D18,H$3+6&gt;=$C18),IF(AND($D18&gt;=H$3,$D18&lt;=H$3+6),2,1),""))</f>
        <v/>
      </c>
      <c r="I18" s="29" t="str">
        <f aca="false">IF(OR($C18="",$D18=""),"",IF(AND(I$3&lt;=$D18,I$3+6&gt;=$C18),IF(AND($D18&gt;=I$3,$D18&lt;=I$3+6),2,1),""))</f>
        <v/>
      </c>
      <c r="J18" s="29" t="str">
        <f aca="false">IF(OR($C18="",$D18=""),"",IF(AND(J$3&lt;=$D18,J$3+6&gt;=$C18),IF(AND($D18&gt;=J$3,$D18&lt;=J$3+6),2,1),""))</f>
        <v/>
      </c>
      <c r="K18" s="29" t="str">
        <f aca="false">IF(OR($C18="",$D18=""),"",IF(AND(K$3&lt;=$D18,K$3+6&gt;=$C18),IF(AND($D18&gt;=K$3,$D18&lt;=K$3+6),2,1),""))</f>
        <v/>
      </c>
      <c r="L18" s="29" t="str">
        <f aca="false">IF(OR($C18="",$D18=""),"",IF(AND(L$3&lt;=$D18,L$3+6&gt;=$C18),IF(AND($D18&gt;=L$3,$D18&lt;=L$3+6),2,1),""))</f>
        <v/>
      </c>
      <c r="M18" s="29" t="str">
        <f aca="false">IF(OR($C18="",$D18=""),"",IF(AND(M$3&lt;=$D18,M$3+6&gt;=$C18),IF(AND($D18&gt;=M$3,$D18&lt;=M$3+6),2,1),""))</f>
        <v/>
      </c>
      <c r="N18" s="29" t="str">
        <f aca="false">IF(OR($C18="",$D18=""),"",IF(AND(N$3&lt;=$D18,N$3+6&gt;=$C18),IF(AND($D18&gt;=N$3,$D18&lt;=N$3+6),2,1),""))</f>
        <v/>
      </c>
      <c r="O18" s="29" t="str">
        <f aca="false">IF(OR($C18="",$D18=""),"",IF(AND(O$3&lt;=$D18,O$3+6&gt;=$C18),IF(AND($D18&gt;=O$3,$D18&lt;=O$3+6),2,1),""))</f>
        <v/>
      </c>
      <c r="P18" s="29" t="str">
        <f aca="false">IF(OR($C18="",$D18=""),"",IF(AND(P$3&lt;=$D18,P$3+6&gt;=$C18),IF(AND($D18&gt;=P$3,$D18&lt;=P$3+6),2,1),""))</f>
        <v/>
      </c>
      <c r="Q18" s="29" t="str">
        <f aca="false">IF(OR($C18="",$D18=""),"",IF(AND(Q$3&lt;=$D18,Q$3+6&gt;=$C18),IF(AND($D18&gt;=Q$3,$D18&lt;=Q$3+6),2,1),""))</f>
        <v/>
      </c>
      <c r="R18" s="29" t="str">
        <f aca="false">IF(OR($C18="",$D18=""),"",IF(AND(R$3&lt;=$D18,R$3+6&gt;=$C18),IF(AND($D18&gt;=R$3,$D18&lt;=R$3+6),2,1),""))</f>
        <v/>
      </c>
      <c r="S18" s="29" t="str">
        <f aca="false">IF(OR($C18="",$D18=""),"",IF(AND(S$3&lt;=$D18,S$3+6&gt;=$C18),IF(AND($D18&gt;=S$3,$D18&lt;=S$3+6),2,1),""))</f>
        <v/>
      </c>
      <c r="T18" s="29" t="str">
        <f aca="false">IF(OR($C18="",$D18=""),"",IF(AND(T$3&lt;=$D18,T$3+6&gt;=$C18),IF(AND($D18&gt;=T$3,$D18&lt;=T$3+6),2,1),""))</f>
        <v/>
      </c>
      <c r="U18" s="29" t="str">
        <f aca="false">IF(OR($C18="",$D18=""),"",IF(AND(U$3&lt;=$D18,U$3+6&gt;=$C18),IF(AND($D18&gt;=U$3,$D18&lt;=U$3+6),2,1),""))</f>
        <v/>
      </c>
      <c r="V18" s="29" t="str">
        <f aca="false">IF(OR($C18="",$D18=""),"",IF(AND(V$3&lt;=$D18,V$3+6&gt;=$C18),IF(AND($D18&gt;=V$3,$D18&lt;=V$3+6),2,1),""))</f>
        <v/>
      </c>
      <c r="W18" s="29" t="str">
        <f aca="false">IF(OR($C18="",$D18=""),"",IF(AND(W$3&lt;=$D18,W$3+6&gt;=$C18),IF(AND($D18&gt;=W$3,$D18&lt;=W$3+6),2,1),""))</f>
        <v/>
      </c>
      <c r="X18" s="29" t="str">
        <f aca="false">IF(OR($C18="",$D18=""),"",IF(AND(X$3&lt;=$D18,X$3+6&gt;=$C18),IF(AND($D18&gt;=X$3,$D18&lt;=X$3+6),2,1),""))</f>
        <v/>
      </c>
      <c r="Y18" s="29" t="str">
        <f aca="false">IF(OR($C18="",$D18=""),"",IF(AND(Y$3&lt;=$D18,Y$3+6&gt;=$C18),IF(AND($D18&gt;=Y$3,$D18&lt;=Y$3+6),2,1),""))</f>
        <v/>
      </c>
      <c r="Z18" s="29" t="str">
        <f aca="false">IF(OR($C18="",$D18=""),"",IF(AND(Z$3&lt;=$D18,Z$3+6&gt;=$C18),IF(AND($D18&gt;=Z$3,$D18&lt;=Z$3+6),2,1),""))</f>
        <v/>
      </c>
      <c r="AA18" s="29" t="str">
        <f aca="false">IF(OR($C18="",$D18=""),"",IF(AND(AA$3&lt;=$D18,AA$3+6&gt;=$C18),IF(AND($D18&gt;=AA$3,$D18&lt;=AA$3+6),2,1),""))</f>
        <v/>
      </c>
      <c r="AB18" s="29" t="str">
        <f aca="false">IF(OR($C18="",$D18=""),"",IF(AND(AB$3&lt;=$D18,AB$3+6&gt;=$C18),IF(AND($D18&gt;=AB$3,$D18&lt;=AB$3+6),2,1),""))</f>
        <v/>
      </c>
      <c r="AC18" s="29" t="str">
        <f aca="false">IF(OR($C18="",$D18=""),"",IF(AND(AC$3&lt;=$D18,AC$3+6&gt;=$C18),IF(AND($D18&gt;=AC$3,$D18&lt;=AC$3+6),2,1),""))</f>
        <v/>
      </c>
      <c r="AD18" s="29" t="str">
        <f aca="false">IF(OR($C18="",$D18=""),"",IF(AND(AD$3&lt;=$D18,AD$3+6&gt;=$C18),IF(AND($D18&gt;=AD$3,$D18&lt;=AD$3+6),2,1),""))</f>
        <v/>
      </c>
      <c r="AE18" s="29" t="str">
        <f aca="false">IF(OR($C18="",$D18=""),"",IF(AND(AE$3&lt;=$D18,AE$3+6&gt;=$C18),IF(AND($D18&gt;=AE$3,$D18&lt;=AE$3+6),2,1),""))</f>
        <v/>
      </c>
      <c r="AF18" s="29" t="str">
        <f aca="false">IF(OR($C18="",$D18=""),"",IF(AND(AF$3&lt;=$D18,AF$3+6&gt;=$C18),IF(AND($D18&gt;=AF$3,$D18&lt;=AF$3+6),2,1),""))</f>
        <v/>
      </c>
      <c r="AG18" s="29" t="str">
        <f aca="false">IF(OR($C18="",$D18=""),"",IF(AND(AG$3&lt;=$D18,AG$3+6&gt;=$C18),IF(AND($D18&gt;=AG$3,$D18&lt;=AG$3+6),2,1),""))</f>
        <v/>
      </c>
      <c r="AH18" s="29" t="str">
        <f aca="false">IF(OR($C18="",$D18=""),"",IF(AND(AH$3&lt;=$D18,AH$3+6&gt;=$C18),IF(AND($D18&gt;=AH$3,$D18&lt;=AH$3+6),2,1),""))</f>
        <v/>
      </c>
      <c r="AI18" s="29" t="str">
        <f aca="false">IF(OR($C18="",$D18=""),"",IF(AND(AI$3&lt;=$D18,AI$3+6&gt;=$C18),IF(AND($D18&gt;=AI$3,$D18&lt;=AI$3+6),2,1),""))</f>
        <v/>
      </c>
      <c r="AJ18" s="29" t="str">
        <f aca="false">IF(OR($C18="",$D18=""),"",IF(AND(AJ$3&lt;=$D18,AJ$3+6&gt;=$C18),IF(AND($D18&gt;=AJ$3,$D18&lt;=AJ$3+6),2,1),""))</f>
        <v/>
      </c>
      <c r="AK18" s="29" t="str">
        <f aca="false">IF(OR($C18="",$D18=""),"",IF(AND(AK$3&lt;=$D18,AK$3+6&gt;=$C18),IF(AND($D18&gt;=AK$3,$D18&lt;=AK$3+6),2,1),""))</f>
        <v/>
      </c>
      <c r="AL18" s="29" t="str">
        <f aca="false">IF(OR($C18="",$D18=""),"",IF(AND(AL$3&lt;=$D18,AL$3+6&gt;=$C18),IF(AND($D18&gt;=AL$3,$D18&lt;=AL$3+6),2,1),""))</f>
        <v/>
      </c>
      <c r="AM18" s="29" t="str">
        <f aca="false">IF(OR($C18="",$D18=""),"",IF(AND(AM$3&lt;=$D18,AM$3+6&gt;=$C18),IF(AND($D18&gt;=AM$3,$D18&lt;=AM$3+6),2,1),""))</f>
        <v/>
      </c>
      <c r="AN18" s="29" t="str">
        <f aca="false">IF(OR($C18="",$D18=""),"",IF(AND(AN$3&lt;=$D18,AN$3+6&gt;=$C18),IF(AND($D18&gt;=AN$3,$D18&lt;=AN$3+6),2,1),""))</f>
        <v/>
      </c>
      <c r="AO18" s="29" t="str">
        <f aca="false">IF(OR($C18="",$D18=""),"",IF(AND(AO$3&lt;=$D18,AO$3+6&gt;=$C18),IF(AND($D18&gt;=AO$3,$D18&lt;=AO$3+6),2,1),""))</f>
        <v/>
      </c>
      <c r="AP18" s="29" t="str">
        <f aca="false">IF(OR($C18="",$D18=""),"",IF(AND(AP$3&lt;=$D18,AP$3+6&gt;=$C18),IF(AND($D18&gt;=AP$3,$D18&lt;=AP$3+6),2,1),""))</f>
        <v/>
      </c>
      <c r="AQ18" s="29" t="str">
        <f aca="false">IF(OR($C18="",$D18=""),"",IF(AND(AQ$3&lt;=$D18,AQ$3+6&gt;=$C18),IF(AND($D18&gt;=AQ$3,$D18&lt;=AQ$3+6),2,1),""))</f>
        <v/>
      </c>
      <c r="AR18" s="29" t="str">
        <f aca="false">IF(OR($C18="",$D18=""),"",IF(AND(AR$3&lt;=$D18,AR$3+6&gt;=$C18),IF(AND($D18&gt;=AR$3,$D18&lt;=AR$3+6),2,1),""))</f>
        <v/>
      </c>
      <c r="AS18" s="29" t="str">
        <f aca="false">IF(OR($C18="",$D18=""),"",IF(AND(AS$3&lt;=$D18,AS$3+6&gt;=$C18),IF(AND($D18&gt;=AS$3,$D18&lt;=AS$3+6),2,1),""))</f>
        <v/>
      </c>
      <c r="AT18" s="29" t="str">
        <f aca="false">IF(OR($C18="",$D18=""),"",IF(AND(AT$3&lt;=$D18,AT$3+6&gt;=$C18),IF(AND($D18&gt;=AT$3,$D18&lt;=AT$3+6),2,1),""))</f>
        <v/>
      </c>
      <c r="AU18" s="29" t="str">
        <f aca="false">IF(OR($C18="",$D18=""),"",IF(AND(AU$3&lt;=$D18,AU$3+6&gt;=$C18),IF(AND($D18&gt;=AU$3,$D18&lt;=AU$3+6),2,1),""))</f>
        <v/>
      </c>
      <c r="AV18" s="29" t="str">
        <f aca="false">IF(OR($C18="",$D18=""),"",IF(AND(AV$3&lt;=$D18,AV$3+6&gt;=$C18),IF(AND($D18&gt;=AV$3,$D18&lt;=AV$3+6),2,1),""))</f>
        <v/>
      </c>
      <c r="AW18" s="29" t="str">
        <f aca="false">IF(OR($C18="",$D18=""),"",IF(AND(AW$3&lt;=$D18,AW$3+6&gt;=$C18),IF(AND($D18&gt;=AW$3,$D18&lt;=AW$3+6),2,1),""))</f>
        <v/>
      </c>
      <c r="AX18" s="29" t="str">
        <f aca="false">IF(OR($C18="",$D18=""),"",IF(AND(AX$3&lt;=$D18,AX$3+6&gt;=$C18),IF(AND($D18&gt;=AX$3,$D18&lt;=AX$3+6),2,1),""))</f>
        <v/>
      </c>
      <c r="AY18" s="29" t="str">
        <f aca="false">IF(OR($C18="",$D18=""),"",IF(AND(AY$3&lt;=$D18,AY$3+6&gt;=$C18),IF(AND($D18&gt;=AY$3,$D18&lt;=AY$3+6),2,1),""))</f>
        <v/>
      </c>
      <c r="AZ18" s="29" t="str">
        <f aca="false">IF(OR($C18="",$D18=""),"",IF(AND(AZ$3&lt;=$D18,AZ$3+6&gt;=$C18),IF(AND($D18&gt;=AZ$3,$D18&lt;=AZ$3+6),2,1),""))</f>
        <v/>
      </c>
      <c r="BA18" s="29" t="str">
        <f aca="false">IF(OR($C18="",$D18=""),"",IF(AND(BA$3&lt;=$D18,BA$3+6&gt;=$C18),IF(AND($D18&gt;=BA$3,$D18&lt;=BA$3+6),2,1),""))</f>
        <v/>
      </c>
      <c r="BB18" s="29" t="str">
        <f aca="false">IF(OR($C18="",$D18=""),"",IF(AND(BB$3&lt;=$D18,BB$3+6&gt;=$C18),IF(AND($D18&gt;=BB$3,$D18&lt;=BB$3+6),2,1),""))</f>
        <v/>
      </c>
      <c r="BC18" s="29" t="str">
        <f aca="false">IF(OR($C18="",$D18=""),"",IF(AND(BC$3&lt;=$D18,BC$3+6&gt;=$C18),IF(AND($D18&gt;=BC$3,$D18&lt;=BC$3+6),2,1),""))</f>
        <v/>
      </c>
      <c r="BD18" s="29" t="str">
        <f aca="false">IF(OR($C18="",$D18=""),"",IF(AND(BD$3&lt;=$D18,BD$3+6&gt;=$C18),IF(AND($D18&gt;=BD$3,$D18&lt;=BD$3+6),2,1),""))</f>
        <v/>
      </c>
      <c r="BE18" s="29" t="str">
        <f aca="false">IF(OR($C18="",$D18=""),"",IF(AND(BE$3&lt;=$D18,BE$3+6&gt;=$C18),IF(AND($D18&gt;=BE$3,$D18&lt;=BE$3+6),2,1),""))</f>
        <v/>
      </c>
      <c r="BF18" s="29" t="str">
        <f aca="false">IF(OR($C18="",$D18=""),"",IF(AND(BF$3&lt;=$D18,BF$3+6&gt;=$C18),IF(AND($D18&gt;=BF$3,$D18&lt;=BF$3+6),2,1),""))</f>
        <v/>
      </c>
    </row>
    <row r="19" customFormat="false" ht="15" hidden="false" customHeight="true" outlineLevel="0" collapsed="false">
      <c r="A19" s="16" t="s">
        <v>156</v>
      </c>
      <c r="B19" s="27" t="str">
        <f aca="false">IFERROR(INDEX(Plan!$C$2:$C$400,MATCH($A19,Plan!$A$2:$A$400,0)),"")</f>
        <v>Effort-distribution baseline</v>
      </c>
      <c r="C19" s="28" t="n">
        <f aca="false">IFERROR(INDEX(Plan!$I$2:$I$400,MATCH($A19,Plan!$A$2:$A$400,0)),"")</f>
        <v>46328</v>
      </c>
      <c r="D19" s="28" t="n">
        <f aca="false">IFERROR(INDEX(Plan!$J$2:$J$400,MATCH($A19,Plan!$A$2:$A$400,0)),"")</f>
        <v>46339</v>
      </c>
      <c r="E19" s="29" t="str">
        <f aca="false">IF(OR($C19="",$D19=""),"",IF(AND(E$3&lt;=$D19,E$3+6&gt;=$C19),IF(AND($D19&gt;=E$3,$D19&lt;=E$3+6),2,1),""))</f>
        <v/>
      </c>
      <c r="F19" s="29" t="n">
        <f aca="false">IF(OR($C19="",$D19=""),"",IF(AND(F$3&lt;=$D19,F$3+6&gt;=$C19),IF(AND($D19&gt;=F$3,$D19&lt;=F$3+6),2,1),""))</f>
        <v>1</v>
      </c>
      <c r="G19" s="29" t="n">
        <f aca="false">IF(OR($C19="",$D19=""),"",IF(AND(G$3&lt;=$D19,G$3+6&gt;=$C19),IF(AND($D19&gt;=G$3,$D19&lt;=G$3+6),2,1),""))</f>
        <v>2</v>
      </c>
      <c r="H19" s="29" t="str">
        <f aca="false">IF(OR($C19="",$D19=""),"",IF(AND(H$3&lt;=$D19,H$3+6&gt;=$C19),IF(AND($D19&gt;=H$3,$D19&lt;=H$3+6),2,1),""))</f>
        <v/>
      </c>
      <c r="I19" s="29" t="str">
        <f aca="false">IF(OR($C19="",$D19=""),"",IF(AND(I$3&lt;=$D19,I$3+6&gt;=$C19),IF(AND($D19&gt;=I$3,$D19&lt;=I$3+6),2,1),""))</f>
        <v/>
      </c>
      <c r="J19" s="29" t="str">
        <f aca="false">IF(OR($C19="",$D19=""),"",IF(AND(J$3&lt;=$D19,J$3+6&gt;=$C19),IF(AND($D19&gt;=J$3,$D19&lt;=J$3+6),2,1),""))</f>
        <v/>
      </c>
      <c r="K19" s="29" t="str">
        <f aca="false">IF(OR($C19="",$D19=""),"",IF(AND(K$3&lt;=$D19,K$3+6&gt;=$C19),IF(AND($D19&gt;=K$3,$D19&lt;=K$3+6),2,1),""))</f>
        <v/>
      </c>
      <c r="L19" s="29" t="str">
        <f aca="false">IF(OR($C19="",$D19=""),"",IF(AND(L$3&lt;=$D19,L$3+6&gt;=$C19),IF(AND($D19&gt;=L$3,$D19&lt;=L$3+6),2,1),""))</f>
        <v/>
      </c>
      <c r="M19" s="29" t="str">
        <f aca="false">IF(OR($C19="",$D19=""),"",IF(AND(M$3&lt;=$D19,M$3+6&gt;=$C19),IF(AND($D19&gt;=M$3,$D19&lt;=M$3+6),2,1),""))</f>
        <v/>
      </c>
      <c r="N19" s="29" t="str">
        <f aca="false">IF(OR($C19="",$D19=""),"",IF(AND(N$3&lt;=$D19,N$3+6&gt;=$C19),IF(AND($D19&gt;=N$3,$D19&lt;=N$3+6),2,1),""))</f>
        <v/>
      </c>
      <c r="O19" s="29" t="str">
        <f aca="false">IF(OR($C19="",$D19=""),"",IF(AND(O$3&lt;=$D19,O$3+6&gt;=$C19),IF(AND($D19&gt;=O$3,$D19&lt;=O$3+6),2,1),""))</f>
        <v/>
      </c>
      <c r="P19" s="29" t="str">
        <f aca="false">IF(OR($C19="",$D19=""),"",IF(AND(P$3&lt;=$D19,P$3+6&gt;=$C19),IF(AND($D19&gt;=P$3,$D19&lt;=P$3+6),2,1),""))</f>
        <v/>
      </c>
      <c r="Q19" s="29" t="str">
        <f aca="false">IF(OR($C19="",$D19=""),"",IF(AND(Q$3&lt;=$D19,Q$3+6&gt;=$C19),IF(AND($D19&gt;=Q$3,$D19&lt;=Q$3+6),2,1),""))</f>
        <v/>
      </c>
      <c r="R19" s="29" t="str">
        <f aca="false">IF(OR($C19="",$D19=""),"",IF(AND(R$3&lt;=$D19,R$3+6&gt;=$C19),IF(AND($D19&gt;=R$3,$D19&lt;=R$3+6),2,1),""))</f>
        <v/>
      </c>
      <c r="S19" s="29" t="str">
        <f aca="false">IF(OR($C19="",$D19=""),"",IF(AND(S$3&lt;=$D19,S$3+6&gt;=$C19),IF(AND($D19&gt;=S$3,$D19&lt;=S$3+6),2,1),""))</f>
        <v/>
      </c>
      <c r="T19" s="29" t="str">
        <f aca="false">IF(OR($C19="",$D19=""),"",IF(AND(T$3&lt;=$D19,T$3+6&gt;=$C19),IF(AND($D19&gt;=T$3,$D19&lt;=T$3+6),2,1),""))</f>
        <v/>
      </c>
      <c r="U19" s="29" t="str">
        <f aca="false">IF(OR($C19="",$D19=""),"",IF(AND(U$3&lt;=$D19,U$3+6&gt;=$C19),IF(AND($D19&gt;=U$3,$D19&lt;=U$3+6),2,1),""))</f>
        <v/>
      </c>
      <c r="V19" s="29" t="str">
        <f aca="false">IF(OR($C19="",$D19=""),"",IF(AND(V$3&lt;=$D19,V$3+6&gt;=$C19),IF(AND($D19&gt;=V$3,$D19&lt;=V$3+6),2,1),""))</f>
        <v/>
      </c>
      <c r="W19" s="29" t="str">
        <f aca="false">IF(OR($C19="",$D19=""),"",IF(AND(W$3&lt;=$D19,W$3+6&gt;=$C19),IF(AND($D19&gt;=W$3,$D19&lt;=W$3+6),2,1),""))</f>
        <v/>
      </c>
      <c r="X19" s="29" t="str">
        <f aca="false">IF(OR($C19="",$D19=""),"",IF(AND(X$3&lt;=$D19,X$3+6&gt;=$C19),IF(AND($D19&gt;=X$3,$D19&lt;=X$3+6),2,1),""))</f>
        <v/>
      </c>
      <c r="Y19" s="29" t="str">
        <f aca="false">IF(OR($C19="",$D19=""),"",IF(AND(Y$3&lt;=$D19,Y$3+6&gt;=$C19),IF(AND($D19&gt;=Y$3,$D19&lt;=Y$3+6),2,1),""))</f>
        <v/>
      </c>
      <c r="Z19" s="29" t="str">
        <f aca="false">IF(OR($C19="",$D19=""),"",IF(AND(Z$3&lt;=$D19,Z$3+6&gt;=$C19),IF(AND($D19&gt;=Z$3,$D19&lt;=Z$3+6),2,1),""))</f>
        <v/>
      </c>
      <c r="AA19" s="29" t="str">
        <f aca="false">IF(OR($C19="",$D19=""),"",IF(AND(AA$3&lt;=$D19,AA$3+6&gt;=$C19),IF(AND($D19&gt;=AA$3,$D19&lt;=AA$3+6),2,1),""))</f>
        <v/>
      </c>
      <c r="AB19" s="29" t="str">
        <f aca="false">IF(OR($C19="",$D19=""),"",IF(AND(AB$3&lt;=$D19,AB$3+6&gt;=$C19),IF(AND($D19&gt;=AB$3,$D19&lt;=AB$3+6),2,1),""))</f>
        <v/>
      </c>
      <c r="AC19" s="29" t="str">
        <f aca="false">IF(OR($C19="",$D19=""),"",IF(AND(AC$3&lt;=$D19,AC$3+6&gt;=$C19),IF(AND($D19&gt;=AC$3,$D19&lt;=AC$3+6),2,1),""))</f>
        <v/>
      </c>
      <c r="AD19" s="29" t="str">
        <f aca="false">IF(OR($C19="",$D19=""),"",IF(AND(AD$3&lt;=$D19,AD$3+6&gt;=$C19),IF(AND($D19&gt;=AD$3,$D19&lt;=AD$3+6),2,1),""))</f>
        <v/>
      </c>
      <c r="AE19" s="29" t="str">
        <f aca="false">IF(OR($C19="",$D19=""),"",IF(AND(AE$3&lt;=$D19,AE$3+6&gt;=$C19),IF(AND($D19&gt;=AE$3,$D19&lt;=AE$3+6),2,1),""))</f>
        <v/>
      </c>
      <c r="AF19" s="29" t="str">
        <f aca="false">IF(OR($C19="",$D19=""),"",IF(AND(AF$3&lt;=$D19,AF$3+6&gt;=$C19),IF(AND($D19&gt;=AF$3,$D19&lt;=AF$3+6),2,1),""))</f>
        <v/>
      </c>
      <c r="AG19" s="29" t="str">
        <f aca="false">IF(OR($C19="",$D19=""),"",IF(AND(AG$3&lt;=$D19,AG$3+6&gt;=$C19),IF(AND($D19&gt;=AG$3,$D19&lt;=AG$3+6),2,1),""))</f>
        <v/>
      </c>
      <c r="AH19" s="29" t="str">
        <f aca="false">IF(OR($C19="",$D19=""),"",IF(AND(AH$3&lt;=$D19,AH$3+6&gt;=$C19),IF(AND($D19&gt;=AH$3,$D19&lt;=AH$3+6),2,1),""))</f>
        <v/>
      </c>
      <c r="AI19" s="29" t="str">
        <f aca="false">IF(OR($C19="",$D19=""),"",IF(AND(AI$3&lt;=$D19,AI$3+6&gt;=$C19),IF(AND($D19&gt;=AI$3,$D19&lt;=AI$3+6),2,1),""))</f>
        <v/>
      </c>
      <c r="AJ19" s="29" t="str">
        <f aca="false">IF(OR($C19="",$D19=""),"",IF(AND(AJ$3&lt;=$D19,AJ$3+6&gt;=$C19),IF(AND($D19&gt;=AJ$3,$D19&lt;=AJ$3+6),2,1),""))</f>
        <v/>
      </c>
      <c r="AK19" s="29" t="str">
        <f aca="false">IF(OR($C19="",$D19=""),"",IF(AND(AK$3&lt;=$D19,AK$3+6&gt;=$C19),IF(AND($D19&gt;=AK$3,$D19&lt;=AK$3+6),2,1),""))</f>
        <v/>
      </c>
      <c r="AL19" s="29" t="str">
        <f aca="false">IF(OR($C19="",$D19=""),"",IF(AND(AL$3&lt;=$D19,AL$3+6&gt;=$C19),IF(AND($D19&gt;=AL$3,$D19&lt;=AL$3+6),2,1),""))</f>
        <v/>
      </c>
      <c r="AM19" s="29" t="str">
        <f aca="false">IF(OR($C19="",$D19=""),"",IF(AND(AM$3&lt;=$D19,AM$3+6&gt;=$C19),IF(AND($D19&gt;=AM$3,$D19&lt;=AM$3+6),2,1),""))</f>
        <v/>
      </c>
      <c r="AN19" s="29" t="str">
        <f aca="false">IF(OR($C19="",$D19=""),"",IF(AND(AN$3&lt;=$D19,AN$3+6&gt;=$C19),IF(AND($D19&gt;=AN$3,$D19&lt;=AN$3+6),2,1),""))</f>
        <v/>
      </c>
      <c r="AO19" s="29" t="str">
        <f aca="false">IF(OR($C19="",$D19=""),"",IF(AND(AO$3&lt;=$D19,AO$3+6&gt;=$C19),IF(AND($D19&gt;=AO$3,$D19&lt;=AO$3+6),2,1),""))</f>
        <v/>
      </c>
      <c r="AP19" s="29" t="str">
        <f aca="false">IF(OR($C19="",$D19=""),"",IF(AND(AP$3&lt;=$D19,AP$3+6&gt;=$C19),IF(AND($D19&gt;=AP$3,$D19&lt;=AP$3+6),2,1),""))</f>
        <v/>
      </c>
      <c r="AQ19" s="29" t="str">
        <f aca="false">IF(OR($C19="",$D19=""),"",IF(AND(AQ$3&lt;=$D19,AQ$3+6&gt;=$C19),IF(AND($D19&gt;=AQ$3,$D19&lt;=AQ$3+6),2,1),""))</f>
        <v/>
      </c>
      <c r="AR19" s="29" t="str">
        <f aca="false">IF(OR($C19="",$D19=""),"",IF(AND(AR$3&lt;=$D19,AR$3+6&gt;=$C19),IF(AND($D19&gt;=AR$3,$D19&lt;=AR$3+6),2,1),""))</f>
        <v/>
      </c>
      <c r="AS19" s="29" t="str">
        <f aca="false">IF(OR($C19="",$D19=""),"",IF(AND(AS$3&lt;=$D19,AS$3+6&gt;=$C19),IF(AND($D19&gt;=AS$3,$D19&lt;=AS$3+6),2,1),""))</f>
        <v/>
      </c>
      <c r="AT19" s="29" t="str">
        <f aca="false">IF(OR($C19="",$D19=""),"",IF(AND(AT$3&lt;=$D19,AT$3+6&gt;=$C19),IF(AND($D19&gt;=AT$3,$D19&lt;=AT$3+6),2,1),""))</f>
        <v/>
      </c>
      <c r="AU19" s="29" t="str">
        <f aca="false">IF(OR($C19="",$D19=""),"",IF(AND(AU$3&lt;=$D19,AU$3+6&gt;=$C19),IF(AND($D19&gt;=AU$3,$D19&lt;=AU$3+6),2,1),""))</f>
        <v/>
      </c>
      <c r="AV19" s="29" t="str">
        <f aca="false">IF(OR($C19="",$D19=""),"",IF(AND(AV$3&lt;=$D19,AV$3+6&gt;=$C19),IF(AND($D19&gt;=AV$3,$D19&lt;=AV$3+6),2,1),""))</f>
        <v/>
      </c>
      <c r="AW19" s="29" t="str">
        <f aca="false">IF(OR($C19="",$D19=""),"",IF(AND(AW$3&lt;=$D19,AW$3+6&gt;=$C19),IF(AND($D19&gt;=AW$3,$D19&lt;=AW$3+6),2,1),""))</f>
        <v/>
      </c>
      <c r="AX19" s="29" t="str">
        <f aca="false">IF(OR($C19="",$D19=""),"",IF(AND(AX$3&lt;=$D19,AX$3+6&gt;=$C19),IF(AND($D19&gt;=AX$3,$D19&lt;=AX$3+6),2,1),""))</f>
        <v/>
      </c>
      <c r="AY19" s="29" t="str">
        <f aca="false">IF(OR($C19="",$D19=""),"",IF(AND(AY$3&lt;=$D19,AY$3+6&gt;=$C19),IF(AND($D19&gt;=AY$3,$D19&lt;=AY$3+6),2,1),""))</f>
        <v/>
      </c>
      <c r="AZ19" s="29" t="str">
        <f aca="false">IF(OR($C19="",$D19=""),"",IF(AND(AZ$3&lt;=$D19,AZ$3+6&gt;=$C19),IF(AND($D19&gt;=AZ$3,$D19&lt;=AZ$3+6),2,1),""))</f>
        <v/>
      </c>
      <c r="BA19" s="29" t="str">
        <f aca="false">IF(OR($C19="",$D19=""),"",IF(AND(BA$3&lt;=$D19,BA$3+6&gt;=$C19),IF(AND($D19&gt;=BA$3,$D19&lt;=BA$3+6),2,1),""))</f>
        <v/>
      </c>
      <c r="BB19" s="29" t="str">
        <f aca="false">IF(OR($C19="",$D19=""),"",IF(AND(BB$3&lt;=$D19,BB$3+6&gt;=$C19),IF(AND($D19&gt;=BB$3,$D19&lt;=BB$3+6),2,1),""))</f>
        <v/>
      </c>
      <c r="BC19" s="29" t="str">
        <f aca="false">IF(OR($C19="",$D19=""),"",IF(AND(BC$3&lt;=$D19,BC$3+6&gt;=$C19),IF(AND($D19&gt;=BC$3,$D19&lt;=BC$3+6),2,1),""))</f>
        <v/>
      </c>
      <c r="BD19" s="29" t="str">
        <f aca="false">IF(OR($C19="",$D19=""),"",IF(AND(BD$3&lt;=$D19,BD$3+6&gt;=$C19),IF(AND($D19&gt;=BD$3,$D19&lt;=BD$3+6),2,1),""))</f>
        <v/>
      </c>
      <c r="BE19" s="29" t="str">
        <f aca="false">IF(OR($C19="",$D19=""),"",IF(AND(BE$3&lt;=$D19,BE$3+6&gt;=$C19),IF(AND($D19&gt;=BE$3,$D19&lt;=BE$3+6),2,1),""))</f>
        <v/>
      </c>
      <c r="BF19" s="29" t="str">
        <f aca="false">IF(OR($C19="",$D19=""),"",IF(AND(BF$3&lt;=$D19,BF$3+6&gt;=$C19),IF(AND($D19&gt;=BF$3,$D19&lt;=BF$3+6),2,1),""))</f>
        <v/>
      </c>
    </row>
    <row r="20" customFormat="false" ht="15" hidden="false" customHeight="true" outlineLevel="0" collapsed="false">
      <c r="A20" s="16" t="s">
        <v>160</v>
      </c>
      <c r="B20" s="27" t="str">
        <f aca="false">IFERROR(INDEX(Plan!$C$2:$C$400,MATCH($A20,Plan!$A$2:$A$400,0)),"")</f>
        <v>Monthly gap report and scorecard</v>
      </c>
      <c r="C20" s="28" t="n">
        <f aca="false">IFERROR(INDEX(Plan!$I$2:$I$400,MATCH($A20,Plan!$A$2:$A$400,0)),"")</f>
        <v>46360</v>
      </c>
      <c r="D20" s="28" t="n">
        <f aca="false">IFERROR(INDEX(Plan!$J$2:$J$400,MATCH($A20,Plan!$A$2:$A$400,0)),"")</f>
        <v>46689</v>
      </c>
      <c r="E20" s="29" t="str">
        <f aca="false">IF(OR($C20="",$D20=""),"",IF(AND(E$3&lt;=$D20,E$3+6&gt;=$C20),IF(AND($D20&gt;=E$3,$D20&lt;=E$3+6),2,1),""))</f>
        <v/>
      </c>
      <c r="F20" s="29" t="str">
        <f aca="false">IF(OR($C20="",$D20=""),"",IF(AND(F$3&lt;=$D20,F$3+6&gt;=$C20),IF(AND($D20&gt;=F$3,$D20&lt;=F$3+6),2,1),""))</f>
        <v/>
      </c>
      <c r="G20" s="29" t="str">
        <f aca="false">IF(OR($C20="",$D20=""),"",IF(AND(G$3&lt;=$D20,G$3+6&gt;=$C20),IF(AND($D20&gt;=G$3,$D20&lt;=G$3+6),2,1),""))</f>
        <v/>
      </c>
      <c r="H20" s="29" t="str">
        <f aca="false">IF(OR($C20="",$D20=""),"",IF(AND(H$3&lt;=$D20,H$3+6&gt;=$C20),IF(AND($D20&gt;=H$3,$D20&lt;=H$3+6),2,1),""))</f>
        <v/>
      </c>
      <c r="I20" s="29" t="str">
        <f aca="false">IF(OR($C20="",$D20=""),"",IF(AND(I$3&lt;=$D20,I$3+6&gt;=$C20),IF(AND($D20&gt;=I$3,$D20&lt;=I$3+6),2,1),""))</f>
        <v/>
      </c>
      <c r="J20" s="29" t="n">
        <f aca="false">IF(OR($C20="",$D20=""),"",IF(AND(J$3&lt;=$D20,J$3+6&gt;=$C20),IF(AND($D20&gt;=J$3,$D20&lt;=J$3+6),2,1),""))</f>
        <v>1</v>
      </c>
      <c r="K20" s="29" t="n">
        <f aca="false">IF(OR($C20="",$D20=""),"",IF(AND(K$3&lt;=$D20,K$3+6&gt;=$C20),IF(AND($D20&gt;=K$3,$D20&lt;=K$3+6),2,1),""))</f>
        <v>1</v>
      </c>
      <c r="L20" s="29" t="n">
        <f aca="false">IF(OR($C20="",$D20=""),"",IF(AND(L$3&lt;=$D20,L$3+6&gt;=$C20),IF(AND($D20&gt;=L$3,$D20&lt;=L$3+6),2,1),""))</f>
        <v>1</v>
      </c>
      <c r="M20" s="29" t="n">
        <f aca="false">IF(OR($C20="",$D20=""),"",IF(AND(M$3&lt;=$D20,M$3+6&gt;=$C20),IF(AND($D20&gt;=M$3,$D20&lt;=M$3+6),2,1),""))</f>
        <v>1</v>
      </c>
      <c r="N20" s="29" t="n">
        <f aca="false">IF(OR($C20="",$D20=""),"",IF(AND(N$3&lt;=$D20,N$3+6&gt;=$C20),IF(AND($D20&gt;=N$3,$D20&lt;=N$3+6),2,1),""))</f>
        <v>1</v>
      </c>
      <c r="O20" s="29" t="n">
        <f aca="false">IF(OR($C20="",$D20=""),"",IF(AND(O$3&lt;=$D20,O$3+6&gt;=$C20),IF(AND($D20&gt;=O$3,$D20&lt;=O$3+6),2,1),""))</f>
        <v>1</v>
      </c>
      <c r="P20" s="29" t="n">
        <f aca="false">IF(OR($C20="",$D20=""),"",IF(AND(P$3&lt;=$D20,P$3+6&gt;=$C20),IF(AND($D20&gt;=P$3,$D20&lt;=P$3+6),2,1),""))</f>
        <v>1</v>
      </c>
      <c r="Q20" s="29" t="n">
        <f aca="false">IF(OR($C20="",$D20=""),"",IF(AND(Q$3&lt;=$D20,Q$3+6&gt;=$C20),IF(AND($D20&gt;=Q$3,$D20&lt;=Q$3+6),2,1),""))</f>
        <v>1</v>
      </c>
      <c r="R20" s="29" t="n">
        <f aca="false">IF(OR($C20="",$D20=""),"",IF(AND(R$3&lt;=$D20,R$3+6&gt;=$C20),IF(AND($D20&gt;=R$3,$D20&lt;=R$3+6),2,1),""))</f>
        <v>1</v>
      </c>
      <c r="S20" s="29" t="n">
        <f aca="false">IF(OR($C20="",$D20=""),"",IF(AND(S$3&lt;=$D20,S$3+6&gt;=$C20),IF(AND($D20&gt;=S$3,$D20&lt;=S$3+6),2,1),""))</f>
        <v>1</v>
      </c>
      <c r="T20" s="29" t="n">
        <f aca="false">IF(OR($C20="",$D20=""),"",IF(AND(T$3&lt;=$D20,T$3+6&gt;=$C20),IF(AND($D20&gt;=T$3,$D20&lt;=T$3+6),2,1),""))</f>
        <v>1</v>
      </c>
      <c r="U20" s="29" t="n">
        <f aca="false">IF(OR($C20="",$D20=""),"",IF(AND(U$3&lt;=$D20,U$3+6&gt;=$C20),IF(AND($D20&gt;=U$3,$D20&lt;=U$3+6),2,1),""))</f>
        <v>1</v>
      </c>
      <c r="V20" s="29" t="n">
        <f aca="false">IF(OR($C20="",$D20=""),"",IF(AND(V$3&lt;=$D20,V$3+6&gt;=$C20),IF(AND($D20&gt;=V$3,$D20&lt;=V$3+6),2,1),""))</f>
        <v>1</v>
      </c>
      <c r="W20" s="29" t="n">
        <f aca="false">IF(OR($C20="",$D20=""),"",IF(AND(W$3&lt;=$D20,W$3+6&gt;=$C20),IF(AND($D20&gt;=W$3,$D20&lt;=W$3+6),2,1),""))</f>
        <v>1</v>
      </c>
      <c r="X20" s="29" t="n">
        <f aca="false">IF(OR($C20="",$D20=""),"",IF(AND(X$3&lt;=$D20,X$3+6&gt;=$C20),IF(AND($D20&gt;=X$3,$D20&lt;=X$3+6),2,1),""))</f>
        <v>1</v>
      </c>
      <c r="Y20" s="29" t="n">
        <f aca="false">IF(OR($C20="",$D20=""),"",IF(AND(Y$3&lt;=$D20,Y$3+6&gt;=$C20),IF(AND($D20&gt;=Y$3,$D20&lt;=Y$3+6),2,1),""))</f>
        <v>1</v>
      </c>
      <c r="Z20" s="29" t="n">
        <f aca="false">IF(OR($C20="",$D20=""),"",IF(AND(Z$3&lt;=$D20,Z$3+6&gt;=$C20),IF(AND($D20&gt;=Z$3,$D20&lt;=Z$3+6),2,1),""))</f>
        <v>1</v>
      </c>
      <c r="AA20" s="29" t="n">
        <f aca="false">IF(OR($C20="",$D20=""),"",IF(AND(AA$3&lt;=$D20,AA$3+6&gt;=$C20),IF(AND($D20&gt;=AA$3,$D20&lt;=AA$3+6),2,1),""))</f>
        <v>1</v>
      </c>
      <c r="AB20" s="29" t="n">
        <f aca="false">IF(OR($C20="",$D20=""),"",IF(AND(AB$3&lt;=$D20,AB$3+6&gt;=$C20),IF(AND($D20&gt;=AB$3,$D20&lt;=AB$3+6),2,1),""))</f>
        <v>1</v>
      </c>
      <c r="AC20" s="29" t="n">
        <f aca="false">IF(OR($C20="",$D20=""),"",IF(AND(AC$3&lt;=$D20,AC$3+6&gt;=$C20),IF(AND($D20&gt;=AC$3,$D20&lt;=AC$3+6),2,1),""))</f>
        <v>1</v>
      </c>
      <c r="AD20" s="29" t="n">
        <f aca="false">IF(OR($C20="",$D20=""),"",IF(AND(AD$3&lt;=$D20,AD$3+6&gt;=$C20),IF(AND($D20&gt;=AD$3,$D20&lt;=AD$3+6),2,1),""))</f>
        <v>1</v>
      </c>
      <c r="AE20" s="29" t="n">
        <f aca="false">IF(OR($C20="",$D20=""),"",IF(AND(AE$3&lt;=$D20,AE$3+6&gt;=$C20),IF(AND($D20&gt;=AE$3,$D20&lt;=AE$3+6),2,1),""))</f>
        <v>1</v>
      </c>
      <c r="AF20" s="29" t="n">
        <f aca="false">IF(OR($C20="",$D20=""),"",IF(AND(AF$3&lt;=$D20,AF$3+6&gt;=$C20),IF(AND($D20&gt;=AF$3,$D20&lt;=AF$3+6),2,1),""))</f>
        <v>1</v>
      </c>
      <c r="AG20" s="29" t="n">
        <f aca="false">IF(OR($C20="",$D20=""),"",IF(AND(AG$3&lt;=$D20,AG$3+6&gt;=$C20),IF(AND($D20&gt;=AG$3,$D20&lt;=AG$3+6),2,1),""))</f>
        <v>1</v>
      </c>
      <c r="AH20" s="29" t="n">
        <f aca="false">IF(OR($C20="",$D20=""),"",IF(AND(AH$3&lt;=$D20,AH$3+6&gt;=$C20),IF(AND($D20&gt;=AH$3,$D20&lt;=AH$3+6),2,1),""))</f>
        <v>1</v>
      </c>
      <c r="AI20" s="29" t="n">
        <f aca="false">IF(OR($C20="",$D20=""),"",IF(AND(AI$3&lt;=$D20,AI$3+6&gt;=$C20),IF(AND($D20&gt;=AI$3,$D20&lt;=AI$3+6),2,1),""))</f>
        <v>1</v>
      </c>
      <c r="AJ20" s="29" t="n">
        <f aca="false">IF(OR($C20="",$D20=""),"",IF(AND(AJ$3&lt;=$D20,AJ$3+6&gt;=$C20),IF(AND($D20&gt;=AJ$3,$D20&lt;=AJ$3+6),2,1),""))</f>
        <v>1</v>
      </c>
      <c r="AK20" s="29" t="n">
        <f aca="false">IF(OR($C20="",$D20=""),"",IF(AND(AK$3&lt;=$D20,AK$3+6&gt;=$C20),IF(AND($D20&gt;=AK$3,$D20&lt;=AK$3+6),2,1),""))</f>
        <v>1</v>
      </c>
      <c r="AL20" s="29" t="n">
        <f aca="false">IF(OR($C20="",$D20=""),"",IF(AND(AL$3&lt;=$D20,AL$3+6&gt;=$C20),IF(AND($D20&gt;=AL$3,$D20&lt;=AL$3+6),2,1),""))</f>
        <v>1</v>
      </c>
      <c r="AM20" s="29" t="n">
        <f aca="false">IF(OR($C20="",$D20=""),"",IF(AND(AM$3&lt;=$D20,AM$3+6&gt;=$C20),IF(AND($D20&gt;=AM$3,$D20&lt;=AM$3+6),2,1),""))</f>
        <v>1</v>
      </c>
      <c r="AN20" s="29" t="n">
        <f aca="false">IF(OR($C20="",$D20=""),"",IF(AND(AN$3&lt;=$D20,AN$3+6&gt;=$C20),IF(AND($D20&gt;=AN$3,$D20&lt;=AN$3+6),2,1),""))</f>
        <v>1</v>
      </c>
      <c r="AO20" s="29" t="n">
        <f aca="false">IF(OR($C20="",$D20=""),"",IF(AND(AO$3&lt;=$D20,AO$3+6&gt;=$C20),IF(AND($D20&gt;=AO$3,$D20&lt;=AO$3+6),2,1),""))</f>
        <v>1</v>
      </c>
      <c r="AP20" s="29" t="n">
        <f aca="false">IF(OR($C20="",$D20=""),"",IF(AND(AP$3&lt;=$D20,AP$3+6&gt;=$C20),IF(AND($D20&gt;=AP$3,$D20&lt;=AP$3+6),2,1),""))</f>
        <v>1</v>
      </c>
      <c r="AQ20" s="29" t="n">
        <f aca="false">IF(OR($C20="",$D20=""),"",IF(AND(AQ$3&lt;=$D20,AQ$3+6&gt;=$C20),IF(AND($D20&gt;=AQ$3,$D20&lt;=AQ$3+6),2,1),""))</f>
        <v>1</v>
      </c>
      <c r="AR20" s="29" t="n">
        <f aca="false">IF(OR($C20="",$D20=""),"",IF(AND(AR$3&lt;=$D20,AR$3+6&gt;=$C20),IF(AND($D20&gt;=AR$3,$D20&lt;=AR$3+6),2,1),""))</f>
        <v>1</v>
      </c>
      <c r="AS20" s="29" t="n">
        <f aca="false">IF(OR($C20="",$D20=""),"",IF(AND(AS$3&lt;=$D20,AS$3+6&gt;=$C20),IF(AND($D20&gt;=AS$3,$D20&lt;=AS$3+6),2,1),""))</f>
        <v>1</v>
      </c>
      <c r="AT20" s="29" t="n">
        <f aca="false">IF(OR($C20="",$D20=""),"",IF(AND(AT$3&lt;=$D20,AT$3+6&gt;=$C20),IF(AND($D20&gt;=AT$3,$D20&lt;=AT$3+6),2,1),""))</f>
        <v>1</v>
      </c>
      <c r="AU20" s="29" t="n">
        <f aca="false">IF(OR($C20="",$D20=""),"",IF(AND(AU$3&lt;=$D20,AU$3+6&gt;=$C20),IF(AND($D20&gt;=AU$3,$D20&lt;=AU$3+6),2,1),""))</f>
        <v>1</v>
      </c>
      <c r="AV20" s="29" t="n">
        <f aca="false">IF(OR($C20="",$D20=""),"",IF(AND(AV$3&lt;=$D20,AV$3+6&gt;=$C20),IF(AND($D20&gt;=AV$3,$D20&lt;=AV$3+6),2,1),""))</f>
        <v>1</v>
      </c>
      <c r="AW20" s="29" t="n">
        <f aca="false">IF(OR($C20="",$D20=""),"",IF(AND(AW$3&lt;=$D20,AW$3+6&gt;=$C20),IF(AND($D20&gt;=AW$3,$D20&lt;=AW$3+6),2,1),""))</f>
        <v>1</v>
      </c>
      <c r="AX20" s="29" t="n">
        <f aca="false">IF(OR($C20="",$D20=""),"",IF(AND(AX$3&lt;=$D20,AX$3+6&gt;=$C20),IF(AND($D20&gt;=AX$3,$D20&lt;=AX$3+6),2,1),""))</f>
        <v>1</v>
      </c>
      <c r="AY20" s="29" t="n">
        <f aca="false">IF(OR($C20="",$D20=""),"",IF(AND(AY$3&lt;=$D20,AY$3+6&gt;=$C20),IF(AND($D20&gt;=AY$3,$D20&lt;=AY$3+6),2,1),""))</f>
        <v>1</v>
      </c>
      <c r="AZ20" s="29" t="n">
        <f aca="false">IF(OR($C20="",$D20=""),"",IF(AND(AZ$3&lt;=$D20,AZ$3+6&gt;=$C20),IF(AND($D20&gt;=AZ$3,$D20&lt;=AZ$3+6),2,1),""))</f>
        <v>1</v>
      </c>
      <c r="BA20" s="29" t="n">
        <f aca="false">IF(OR($C20="",$D20=""),"",IF(AND(BA$3&lt;=$D20,BA$3+6&gt;=$C20),IF(AND($D20&gt;=BA$3,$D20&lt;=BA$3+6),2,1),""))</f>
        <v>1</v>
      </c>
      <c r="BB20" s="29" t="n">
        <f aca="false">IF(OR($C20="",$D20=""),"",IF(AND(BB$3&lt;=$D20,BB$3+6&gt;=$C20),IF(AND($D20&gt;=BB$3,$D20&lt;=BB$3+6),2,1),""))</f>
        <v>1</v>
      </c>
      <c r="BC20" s="29" t="n">
        <f aca="false">IF(OR($C20="",$D20=""),"",IF(AND(BC$3&lt;=$D20,BC$3+6&gt;=$C20),IF(AND($D20&gt;=BC$3,$D20&lt;=BC$3+6),2,1),""))</f>
        <v>1</v>
      </c>
      <c r="BD20" s="29" t="n">
        <f aca="false">IF(OR($C20="",$D20=""),"",IF(AND(BD$3&lt;=$D20,BD$3+6&gt;=$C20),IF(AND($D20&gt;=BD$3,$D20&lt;=BD$3+6),2,1),""))</f>
        <v>1</v>
      </c>
      <c r="BE20" s="29" t="n">
        <f aca="false">IF(OR($C20="",$D20=""),"",IF(AND(BE$3&lt;=$D20,BE$3+6&gt;=$C20),IF(AND($D20&gt;=BE$3,$D20&lt;=BE$3+6),2,1),""))</f>
        <v>2</v>
      </c>
      <c r="BF20" s="29" t="str">
        <f aca="false">IF(OR($C20="",$D20=""),"",IF(AND(BF$3&lt;=$D20,BF$3+6&gt;=$C20),IF(AND($D20&gt;=BF$3,$D20&lt;=BF$3+6),2,1),""))</f>
        <v/>
      </c>
    </row>
    <row r="21" customFormat="false" ht="15" hidden="false" customHeight="true" outlineLevel="0" collapsed="false">
      <c r="A21" s="16" t="s">
        <v>166</v>
      </c>
      <c r="B21" s="27" t="str">
        <f aca="false">IFERROR(INDEX(Plan!$C$2:$C$400,MATCH($A21,Plan!$A$2:$A$400,0)),"")</f>
        <v>Adoption hygiene</v>
      </c>
      <c r="C21" s="28" t="n">
        <f aca="false">IFERROR(INDEX(Plan!$I$2:$I$400,MATCH($A21,Plan!$A$2:$A$400,0)),"")</f>
        <v>46328</v>
      </c>
      <c r="D21" s="28" t="n">
        <f aca="false">IFERROR(INDEX(Plan!$J$2:$J$400,MATCH($A21,Plan!$A$2:$A$400,0)),"")</f>
        <v>46353</v>
      </c>
      <c r="E21" s="29" t="str">
        <f aca="false">IF(OR($C21="",$D21=""),"",IF(AND(E$3&lt;=$D21,E$3+6&gt;=$C21),IF(AND($D21&gt;=E$3,$D21&lt;=E$3+6),2,1),""))</f>
        <v/>
      </c>
      <c r="F21" s="29" t="n">
        <f aca="false">IF(OR($C21="",$D21=""),"",IF(AND(F$3&lt;=$D21,F$3+6&gt;=$C21),IF(AND($D21&gt;=F$3,$D21&lt;=F$3+6),2,1),""))</f>
        <v>1</v>
      </c>
      <c r="G21" s="29" t="n">
        <f aca="false">IF(OR($C21="",$D21=""),"",IF(AND(G$3&lt;=$D21,G$3+6&gt;=$C21),IF(AND($D21&gt;=G$3,$D21&lt;=G$3+6),2,1),""))</f>
        <v>1</v>
      </c>
      <c r="H21" s="29" t="n">
        <f aca="false">IF(OR($C21="",$D21=""),"",IF(AND(H$3&lt;=$D21,H$3+6&gt;=$C21),IF(AND($D21&gt;=H$3,$D21&lt;=H$3+6),2,1),""))</f>
        <v>1</v>
      </c>
      <c r="I21" s="29" t="n">
        <f aca="false">IF(OR($C21="",$D21=""),"",IF(AND(I$3&lt;=$D21,I$3+6&gt;=$C21),IF(AND($D21&gt;=I$3,$D21&lt;=I$3+6),2,1),""))</f>
        <v>2</v>
      </c>
      <c r="J21" s="29" t="str">
        <f aca="false">IF(OR($C21="",$D21=""),"",IF(AND(J$3&lt;=$D21,J$3+6&gt;=$C21),IF(AND($D21&gt;=J$3,$D21&lt;=J$3+6),2,1),""))</f>
        <v/>
      </c>
      <c r="K21" s="29" t="str">
        <f aca="false">IF(OR($C21="",$D21=""),"",IF(AND(K$3&lt;=$D21,K$3+6&gt;=$C21),IF(AND($D21&gt;=K$3,$D21&lt;=K$3+6),2,1),""))</f>
        <v/>
      </c>
      <c r="L21" s="29" t="str">
        <f aca="false">IF(OR($C21="",$D21=""),"",IF(AND(L$3&lt;=$D21,L$3+6&gt;=$C21),IF(AND($D21&gt;=L$3,$D21&lt;=L$3+6),2,1),""))</f>
        <v/>
      </c>
      <c r="M21" s="29" t="str">
        <f aca="false">IF(OR($C21="",$D21=""),"",IF(AND(M$3&lt;=$D21,M$3+6&gt;=$C21),IF(AND($D21&gt;=M$3,$D21&lt;=M$3+6),2,1),""))</f>
        <v/>
      </c>
      <c r="N21" s="29" t="str">
        <f aca="false">IF(OR($C21="",$D21=""),"",IF(AND(N$3&lt;=$D21,N$3+6&gt;=$C21),IF(AND($D21&gt;=N$3,$D21&lt;=N$3+6),2,1),""))</f>
        <v/>
      </c>
      <c r="O21" s="29" t="str">
        <f aca="false">IF(OR($C21="",$D21=""),"",IF(AND(O$3&lt;=$D21,O$3+6&gt;=$C21),IF(AND($D21&gt;=O$3,$D21&lt;=O$3+6),2,1),""))</f>
        <v/>
      </c>
      <c r="P21" s="29" t="str">
        <f aca="false">IF(OR($C21="",$D21=""),"",IF(AND(P$3&lt;=$D21,P$3+6&gt;=$C21),IF(AND($D21&gt;=P$3,$D21&lt;=P$3+6),2,1),""))</f>
        <v/>
      </c>
      <c r="Q21" s="29" t="str">
        <f aca="false">IF(OR($C21="",$D21=""),"",IF(AND(Q$3&lt;=$D21,Q$3+6&gt;=$C21),IF(AND($D21&gt;=Q$3,$D21&lt;=Q$3+6),2,1),""))</f>
        <v/>
      </c>
      <c r="R21" s="29" t="str">
        <f aca="false">IF(OR($C21="",$D21=""),"",IF(AND(R$3&lt;=$D21,R$3+6&gt;=$C21),IF(AND($D21&gt;=R$3,$D21&lt;=R$3+6),2,1),""))</f>
        <v/>
      </c>
      <c r="S21" s="29" t="str">
        <f aca="false">IF(OR($C21="",$D21=""),"",IF(AND(S$3&lt;=$D21,S$3+6&gt;=$C21),IF(AND($D21&gt;=S$3,$D21&lt;=S$3+6),2,1),""))</f>
        <v/>
      </c>
      <c r="T21" s="29" t="str">
        <f aca="false">IF(OR($C21="",$D21=""),"",IF(AND(T$3&lt;=$D21,T$3+6&gt;=$C21),IF(AND($D21&gt;=T$3,$D21&lt;=T$3+6),2,1),""))</f>
        <v/>
      </c>
      <c r="U21" s="29" t="str">
        <f aca="false">IF(OR($C21="",$D21=""),"",IF(AND(U$3&lt;=$D21,U$3+6&gt;=$C21),IF(AND($D21&gt;=U$3,$D21&lt;=U$3+6),2,1),""))</f>
        <v/>
      </c>
      <c r="V21" s="29" t="str">
        <f aca="false">IF(OR($C21="",$D21=""),"",IF(AND(V$3&lt;=$D21,V$3+6&gt;=$C21),IF(AND($D21&gt;=V$3,$D21&lt;=V$3+6),2,1),""))</f>
        <v/>
      </c>
      <c r="W21" s="29" t="str">
        <f aca="false">IF(OR($C21="",$D21=""),"",IF(AND(W$3&lt;=$D21,W$3+6&gt;=$C21),IF(AND($D21&gt;=W$3,$D21&lt;=W$3+6),2,1),""))</f>
        <v/>
      </c>
      <c r="X21" s="29" t="str">
        <f aca="false">IF(OR($C21="",$D21=""),"",IF(AND(X$3&lt;=$D21,X$3+6&gt;=$C21),IF(AND($D21&gt;=X$3,$D21&lt;=X$3+6),2,1),""))</f>
        <v/>
      </c>
      <c r="Y21" s="29" t="str">
        <f aca="false">IF(OR($C21="",$D21=""),"",IF(AND(Y$3&lt;=$D21,Y$3+6&gt;=$C21),IF(AND($D21&gt;=Y$3,$D21&lt;=Y$3+6),2,1),""))</f>
        <v/>
      </c>
      <c r="Z21" s="29" t="str">
        <f aca="false">IF(OR($C21="",$D21=""),"",IF(AND(Z$3&lt;=$D21,Z$3+6&gt;=$C21),IF(AND($D21&gt;=Z$3,$D21&lt;=Z$3+6),2,1),""))</f>
        <v/>
      </c>
      <c r="AA21" s="29" t="str">
        <f aca="false">IF(OR($C21="",$D21=""),"",IF(AND(AA$3&lt;=$D21,AA$3+6&gt;=$C21),IF(AND($D21&gt;=AA$3,$D21&lt;=AA$3+6),2,1),""))</f>
        <v/>
      </c>
      <c r="AB21" s="29" t="str">
        <f aca="false">IF(OR($C21="",$D21=""),"",IF(AND(AB$3&lt;=$D21,AB$3+6&gt;=$C21),IF(AND($D21&gt;=AB$3,$D21&lt;=AB$3+6),2,1),""))</f>
        <v/>
      </c>
      <c r="AC21" s="29" t="str">
        <f aca="false">IF(OR($C21="",$D21=""),"",IF(AND(AC$3&lt;=$D21,AC$3+6&gt;=$C21),IF(AND($D21&gt;=AC$3,$D21&lt;=AC$3+6),2,1),""))</f>
        <v/>
      </c>
      <c r="AD21" s="29" t="str">
        <f aca="false">IF(OR($C21="",$D21=""),"",IF(AND(AD$3&lt;=$D21,AD$3+6&gt;=$C21),IF(AND($D21&gt;=AD$3,$D21&lt;=AD$3+6),2,1),""))</f>
        <v/>
      </c>
      <c r="AE21" s="29" t="str">
        <f aca="false">IF(OR($C21="",$D21=""),"",IF(AND(AE$3&lt;=$D21,AE$3+6&gt;=$C21),IF(AND($D21&gt;=AE$3,$D21&lt;=AE$3+6),2,1),""))</f>
        <v/>
      </c>
      <c r="AF21" s="29" t="str">
        <f aca="false">IF(OR($C21="",$D21=""),"",IF(AND(AF$3&lt;=$D21,AF$3+6&gt;=$C21),IF(AND($D21&gt;=AF$3,$D21&lt;=AF$3+6),2,1),""))</f>
        <v/>
      </c>
      <c r="AG21" s="29" t="str">
        <f aca="false">IF(OR($C21="",$D21=""),"",IF(AND(AG$3&lt;=$D21,AG$3+6&gt;=$C21),IF(AND($D21&gt;=AG$3,$D21&lt;=AG$3+6),2,1),""))</f>
        <v/>
      </c>
      <c r="AH21" s="29" t="str">
        <f aca="false">IF(OR($C21="",$D21=""),"",IF(AND(AH$3&lt;=$D21,AH$3+6&gt;=$C21),IF(AND($D21&gt;=AH$3,$D21&lt;=AH$3+6),2,1),""))</f>
        <v/>
      </c>
      <c r="AI21" s="29" t="str">
        <f aca="false">IF(OR($C21="",$D21=""),"",IF(AND(AI$3&lt;=$D21,AI$3+6&gt;=$C21),IF(AND($D21&gt;=AI$3,$D21&lt;=AI$3+6),2,1),""))</f>
        <v/>
      </c>
      <c r="AJ21" s="29" t="str">
        <f aca="false">IF(OR($C21="",$D21=""),"",IF(AND(AJ$3&lt;=$D21,AJ$3+6&gt;=$C21),IF(AND($D21&gt;=AJ$3,$D21&lt;=AJ$3+6),2,1),""))</f>
        <v/>
      </c>
      <c r="AK21" s="29" t="str">
        <f aca="false">IF(OR($C21="",$D21=""),"",IF(AND(AK$3&lt;=$D21,AK$3+6&gt;=$C21),IF(AND($D21&gt;=AK$3,$D21&lt;=AK$3+6),2,1),""))</f>
        <v/>
      </c>
      <c r="AL21" s="29" t="str">
        <f aca="false">IF(OR($C21="",$D21=""),"",IF(AND(AL$3&lt;=$D21,AL$3+6&gt;=$C21),IF(AND($D21&gt;=AL$3,$D21&lt;=AL$3+6),2,1),""))</f>
        <v/>
      </c>
      <c r="AM21" s="29" t="str">
        <f aca="false">IF(OR($C21="",$D21=""),"",IF(AND(AM$3&lt;=$D21,AM$3+6&gt;=$C21),IF(AND($D21&gt;=AM$3,$D21&lt;=AM$3+6),2,1),""))</f>
        <v/>
      </c>
      <c r="AN21" s="29" t="str">
        <f aca="false">IF(OR($C21="",$D21=""),"",IF(AND(AN$3&lt;=$D21,AN$3+6&gt;=$C21),IF(AND($D21&gt;=AN$3,$D21&lt;=AN$3+6),2,1),""))</f>
        <v/>
      </c>
      <c r="AO21" s="29" t="str">
        <f aca="false">IF(OR($C21="",$D21=""),"",IF(AND(AO$3&lt;=$D21,AO$3+6&gt;=$C21),IF(AND($D21&gt;=AO$3,$D21&lt;=AO$3+6),2,1),""))</f>
        <v/>
      </c>
      <c r="AP21" s="29" t="str">
        <f aca="false">IF(OR($C21="",$D21=""),"",IF(AND(AP$3&lt;=$D21,AP$3+6&gt;=$C21),IF(AND($D21&gt;=AP$3,$D21&lt;=AP$3+6),2,1),""))</f>
        <v/>
      </c>
      <c r="AQ21" s="29" t="str">
        <f aca="false">IF(OR($C21="",$D21=""),"",IF(AND(AQ$3&lt;=$D21,AQ$3+6&gt;=$C21),IF(AND($D21&gt;=AQ$3,$D21&lt;=AQ$3+6),2,1),""))</f>
        <v/>
      </c>
      <c r="AR21" s="29" t="str">
        <f aca="false">IF(OR($C21="",$D21=""),"",IF(AND(AR$3&lt;=$D21,AR$3+6&gt;=$C21),IF(AND($D21&gt;=AR$3,$D21&lt;=AR$3+6),2,1),""))</f>
        <v/>
      </c>
      <c r="AS21" s="29" t="str">
        <f aca="false">IF(OR($C21="",$D21=""),"",IF(AND(AS$3&lt;=$D21,AS$3+6&gt;=$C21),IF(AND($D21&gt;=AS$3,$D21&lt;=AS$3+6),2,1),""))</f>
        <v/>
      </c>
      <c r="AT21" s="29" t="str">
        <f aca="false">IF(OR($C21="",$D21=""),"",IF(AND(AT$3&lt;=$D21,AT$3+6&gt;=$C21),IF(AND($D21&gt;=AT$3,$D21&lt;=AT$3+6),2,1),""))</f>
        <v/>
      </c>
      <c r="AU21" s="29" t="str">
        <f aca="false">IF(OR($C21="",$D21=""),"",IF(AND(AU$3&lt;=$D21,AU$3+6&gt;=$C21),IF(AND($D21&gt;=AU$3,$D21&lt;=AU$3+6),2,1),""))</f>
        <v/>
      </c>
      <c r="AV21" s="29" t="str">
        <f aca="false">IF(OR($C21="",$D21=""),"",IF(AND(AV$3&lt;=$D21,AV$3+6&gt;=$C21),IF(AND($D21&gt;=AV$3,$D21&lt;=AV$3+6),2,1),""))</f>
        <v/>
      </c>
      <c r="AW21" s="29" t="str">
        <f aca="false">IF(OR($C21="",$D21=""),"",IF(AND(AW$3&lt;=$D21,AW$3+6&gt;=$C21),IF(AND($D21&gt;=AW$3,$D21&lt;=AW$3+6),2,1),""))</f>
        <v/>
      </c>
      <c r="AX21" s="29" t="str">
        <f aca="false">IF(OR($C21="",$D21=""),"",IF(AND(AX$3&lt;=$D21,AX$3+6&gt;=$C21),IF(AND($D21&gt;=AX$3,$D21&lt;=AX$3+6),2,1),""))</f>
        <v/>
      </c>
      <c r="AY21" s="29" t="str">
        <f aca="false">IF(OR($C21="",$D21=""),"",IF(AND(AY$3&lt;=$D21,AY$3+6&gt;=$C21),IF(AND($D21&gt;=AY$3,$D21&lt;=AY$3+6),2,1),""))</f>
        <v/>
      </c>
      <c r="AZ21" s="29" t="str">
        <f aca="false">IF(OR($C21="",$D21=""),"",IF(AND(AZ$3&lt;=$D21,AZ$3+6&gt;=$C21),IF(AND($D21&gt;=AZ$3,$D21&lt;=AZ$3+6),2,1),""))</f>
        <v/>
      </c>
      <c r="BA21" s="29" t="str">
        <f aca="false">IF(OR($C21="",$D21=""),"",IF(AND(BA$3&lt;=$D21,BA$3+6&gt;=$C21),IF(AND($D21&gt;=BA$3,$D21&lt;=BA$3+6),2,1),""))</f>
        <v/>
      </c>
      <c r="BB21" s="29" t="str">
        <f aca="false">IF(OR($C21="",$D21=""),"",IF(AND(BB$3&lt;=$D21,BB$3+6&gt;=$C21),IF(AND($D21&gt;=BB$3,$D21&lt;=BB$3+6),2,1),""))</f>
        <v/>
      </c>
      <c r="BC21" s="29" t="str">
        <f aca="false">IF(OR($C21="",$D21=""),"",IF(AND(BC$3&lt;=$D21,BC$3+6&gt;=$C21),IF(AND($D21&gt;=BC$3,$D21&lt;=BC$3+6),2,1),""))</f>
        <v/>
      </c>
      <c r="BD21" s="29" t="str">
        <f aca="false">IF(OR($C21="",$D21=""),"",IF(AND(BD$3&lt;=$D21,BD$3+6&gt;=$C21),IF(AND($D21&gt;=BD$3,$D21&lt;=BD$3+6),2,1),""))</f>
        <v/>
      </c>
      <c r="BE21" s="29" t="str">
        <f aca="false">IF(OR($C21="",$D21=""),"",IF(AND(BE$3&lt;=$D21,BE$3+6&gt;=$C21),IF(AND($D21&gt;=BE$3,$D21&lt;=BE$3+6),2,1),""))</f>
        <v/>
      </c>
      <c r="BF21" s="29" t="str">
        <f aca="false">IF(OR($C21="",$D21=""),"",IF(AND(BF$3&lt;=$D21,BF$3+6&gt;=$C21),IF(AND($D21&gt;=BF$3,$D21&lt;=BF$3+6),2,1),""))</f>
        <v/>
      </c>
    </row>
    <row r="22" customFormat="false" ht="15" hidden="false" customHeight="true" outlineLevel="0" collapsed="false">
      <c r="A22" s="16" t="s">
        <v>173</v>
      </c>
      <c r="B22" s="27" t="str">
        <f aca="false">IFERROR(INDEX(Plan!$C$2:$C$400,MATCH($A22,Plan!$A$2:$A$400,0)),"")</f>
        <v>Publish standard v2</v>
      </c>
      <c r="C22" s="28" t="n">
        <f aca="false">IFERROR(INDEX(Plan!$I$2:$I$400,MATCH($A22,Plan!$A$2:$A$400,0)),"")</f>
        <v>46321</v>
      </c>
      <c r="D22" s="28" t="n">
        <f aca="false">IFERROR(INDEX(Plan!$J$2:$J$400,MATCH($A22,Plan!$A$2:$A$400,0)),"")</f>
        <v>46332</v>
      </c>
      <c r="E22" s="29" t="n">
        <f aca="false">IF(OR($C22="",$D22=""),"",IF(AND(E$3&lt;=$D22,E$3+6&gt;=$C22),IF(AND($D22&gt;=E$3,$D22&lt;=E$3+6),2,1),""))</f>
        <v>1</v>
      </c>
      <c r="F22" s="29" t="n">
        <f aca="false">IF(OR($C22="",$D22=""),"",IF(AND(F$3&lt;=$D22,F$3+6&gt;=$C22),IF(AND($D22&gt;=F$3,$D22&lt;=F$3+6),2,1),""))</f>
        <v>2</v>
      </c>
      <c r="G22" s="29" t="str">
        <f aca="false">IF(OR($C22="",$D22=""),"",IF(AND(G$3&lt;=$D22,G$3+6&gt;=$C22),IF(AND($D22&gt;=G$3,$D22&lt;=G$3+6),2,1),""))</f>
        <v/>
      </c>
      <c r="H22" s="29" t="str">
        <f aca="false">IF(OR($C22="",$D22=""),"",IF(AND(H$3&lt;=$D22,H$3+6&gt;=$C22),IF(AND($D22&gt;=H$3,$D22&lt;=H$3+6),2,1),""))</f>
        <v/>
      </c>
      <c r="I22" s="29" t="str">
        <f aca="false">IF(OR($C22="",$D22=""),"",IF(AND(I$3&lt;=$D22,I$3+6&gt;=$C22),IF(AND($D22&gt;=I$3,$D22&lt;=I$3+6),2,1),""))</f>
        <v/>
      </c>
      <c r="J22" s="29" t="str">
        <f aca="false">IF(OR($C22="",$D22=""),"",IF(AND(J$3&lt;=$D22,J$3+6&gt;=$C22),IF(AND($D22&gt;=J$3,$D22&lt;=J$3+6),2,1),""))</f>
        <v/>
      </c>
      <c r="K22" s="29" t="str">
        <f aca="false">IF(OR($C22="",$D22=""),"",IF(AND(K$3&lt;=$D22,K$3+6&gt;=$C22),IF(AND($D22&gt;=K$3,$D22&lt;=K$3+6),2,1),""))</f>
        <v/>
      </c>
      <c r="L22" s="29" t="str">
        <f aca="false">IF(OR($C22="",$D22=""),"",IF(AND(L$3&lt;=$D22,L$3+6&gt;=$C22),IF(AND($D22&gt;=L$3,$D22&lt;=L$3+6),2,1),""))</f>
        <v/>
      </c>
      <c r="M22" s="29" t="str">
        <f aca="false">IF(OR($C22="",$D22=""),"",IF(AND(M$3&lt;=$D22,M$3+6&gt;=$C22),IF(AND($D22&gt;=M$3,$D22&lt;=M$3+6),2,1),""))</f>
        <v/>
      </c>
      <c r="N22" s="29" t="str">
        <f aca="false">IF(OR($C22="",$D22=""),"",IF(AND(N$3&lt;=$D22,N$3+6&gt;=$C22),IF(AND($D22&gt;=N$3,$D22&lt;=N$3+6),2,1),""))</f>
        <v/>
      </c>
      <c r="O22" s="29" t="str">
        <f aca="false">IF(OR($C22="",$D22=""),"",IF(AND(O$3&lt;=$D22,O$3+6&gt;=$C22),IF(AND($D22&gt;=O$3,$D22&lt;=O$3+6),2,1),""))</f>
        <v/>
      </c>
      <c r="P22" s="29" t="str">
        <f aca="false">IF(OR($C22="",$D22=""),"",IF(AND(P$3&lt;=$D22,P$3+6&gt;=$C22),IF(AND($D22&gt;=P$3,$D22&lt;=P$3+6),2,1),""))</f>
        <v/>
      </c>
      <c r="Q22" s="29" t="str">
        <f aca="false">IF(OR($C22="",$D22=""),"",IF(AND(Q$3&lt;=$D22,Q$3+6&gt;=$C22),IF(AND($D22&gt;=Q$3,$D22&lt;=Q$3+6),2,1),""))</f>
        <v/>
      </c>
      <c r="R22" s="29" t="str">
        <f aca="false">IF(OR($C22="",$D22=""),"",IF(AND(R$3&lt;=$D22,R$3+6&gt;=$C22),IF(AND($D22&gt;=R$3,$D22&lt;=R$3+6),2,1),""))</f>
        <v/>
      </c>
      <c r="S22" s="29" t="str">
        <f aca="false">IF(OR($C22="",$D22=""),"",IF(AND(S$3&lt;=$D22,S$3+6&gt;=$C22),IF(AND($D22&gt;=S$3,$D22&lt;=S$3+6),2,1),""))</f>
        <v/>
      </c>
      <c r="T22" s="29" t="str">
        <f aca="false">IF(OR($C22="",$D22=""),"",IF(AND(T$3&lt;=$D22,T$3+6&gt;=$C22),IF(AND($D22&gt;=T$3,$D22&lt;=T$3+6),2,1),""))</f>
        <v/>
      </c>
      <c r="U22" s="29" t="str">
        <f aca="false">IF(OR($C22="",$D22=""),"",IF(AND(U$3&lt;=$D22,U$3+6&gt;=$C22),IF(AND($D22&gt;=U$3,$D22&lt;=U$3+6),2,1),""))</f>
        <v/>
      </c>
      <c r="V22" s="29" t="str">
        <f aca="false">IF(OR($C22="",$D22=""),"",IF(AND(V$3&lt;=$D22,V$3+6&gt;=$C22),IF(AND($D22&gt;=V$3,$D22&lt;=V$3+6),2,1),""))</f>
        <v/>
      </c>
      <c r="W22" s="29" t="str">
        <f aca="false">IF(OR($C22="",$D22=""),"",IF(AND(W$3&lt;=$D22,W$3+6&gt;=$C22),IF(AND($D22&gt;=W$3,$D22&lt;=W$3+6),2,1),""))</f>
        <v/>
      </c>
      <c r="X22" s="29" t="str">
        <f aca="false">IF(OR($C22="",$D22=""),"",IF(AND(X$3&lt;=$D22,X$3+6&gt;=$C22),IF(AND($D22&gt;=X$3,$D22&lt;=X$3+6),2,1),""))</f>
        <v/>
      </c>
      <c r="Y22" s="29" t="str">
        <f aca="false">IF(OR($C22="",$D22=""),"",IF(AND(Y$3&lt;=$D22,Y$3+6&gt;=$C22),IF(AND($D22&gt;=Y$3,$D22&lt;=Y$3+6),2,1),""))</f>
        <v/>
      </c>
      <c r="Z22" s="29" t="str">
        <f aca="false">IF(OR($C22="",$D22=""),"",IF(AND(Z$3&lt;=$D22,Z$3+6&gt;=$C22),IF(AND($D22&gt;=Z$3,$D22&lt;=Z$3+6),2,1),""))</f>
        <v/>
      </c>
      <c r="AA22" s="29" t="str">
        <f aca="false">IF(OR($C22="",$D22=""),"",IF(AND(AA$3&lt;=$D22,AA$3+6&gt;=$C22),IF(AND($D22&gt;=AA$3,$D22&lt;=AA$3+6),2,1),""))</f>
        <v/>
      </c>
      <c r="AB22" s="29" t="str">
        <f aca="false">IF(OR($C22="",$D22=""),"",IF(AND(AB$3&lt;=$D22,AB$3+6&gt;=$C22),IF(AND($D22&gt;=AB$3,$D22&lt;=AB$3+6),2,1),""))</f>
        <v/>
      </c>
      <c r="AC22" s="29" t="str">
        <f aca="false">IF(OR($C22="",$D22=""),"",IF(AND(AC$3&lt;=$D22,AC$3+6&gt;=$C22),IF(AND($D22&gt;=AC$3,$D22&lt;=AC$3+6),2,1),""))</f>
        <v/>
      </c>
      <c r="AD22" s="29" t="str">
        <f aca="false">IF(OR($C22="",$D22=""),"",IF(AND(AD$3&lt;=$D22,AD$3+6&gt;=$C22),IF(AND($D22&gt;=AD$3,$D22&lt;=AD$3+6),2,1),""))</f>
        <v/>
      </c>
      <c r="AE22" s="29" t="str">
        <f aca="false">IF(OR($C22="",$D22=""),"",IF(AND(AE$3&lt;=$D22,AE$3+6&gt;=$C22),IF(AND($D22&gt;=AE$3,$D22&lt;=AE$3+6),2,1),""))</f>
        <v/>
      </c>
      <c r="AF22" s="29" t="str">
        <f aca="false">IF(OR($C22="",$D22=""),"",IF(AND(AF$3&lt;=$D22,AF$3+6&gt;=$C22),IF(AND($D22&gt;=AF$3,$D22&lt;=AF$3+6),2,1),""))</f>
        <v/>
      </c>
      <c r="AG22" s="29" t="str">
        <f aca="false">IF(OR($C22="",$D22=""),"",IF(AND(AG$3&lt;=$D22,AG$3+6&gt;=$C22),IF(AND($D22&gt;=AG$3,$D22&lt;=AG$3+6),2,1),""))</f>
        <v/>
      </c>
      <c r="AH22" s="29" t="str">
        <f aca="false">IF(OR($C22="",$D22=""),"",IF(AND(AH$3&lt;=$D22,AH$3+6&gt;=$C22),IF(AND($D22&gt;=AH$3,$D22&lt;=AH$3+6),2,1),""))</f>
        <v/>
      </c>
      <c r="AI22" s="29" t="str">
        <f aca="false">IF(OR($C22="",$D22=""),"",IF(AND(AI$3&lt;=$D22,AI$3+6&gt;=$C22),IF(AND($D22&gt;=AI$3,$D22&lt;=AI$3+6),2,1),""))</f>
        <v/>
      </c>
      <c r="AJ22" s="29" t="str">
        <f aca="false">IF(OR($C22="",$D22=""),"",IF(AND(AJ$3&lt;=$D22,AJ$3+6&gt;=$C22),IF(AND($D22&gt;=AJ$3,$D22&lt;=AJ$3+6),2,1),""))</f>
        <v/>
      </c>
      <c r="AK22" s="29" t="str">
        <f aca="false">IF(OR($C22="",$D22=""),"",IF(AND(AK$3&lt;=$D22,AK$3+6&gt;=$C22),IF(AND($D22&gt;=AK$3,$D22&lt;=AK$3+6),2,1),""))</f>
        <v/>
      </c>
      <c r="AL22" s="29" t="str">
        <f aca="false">IF(OR($C22="",$D22=""),"",IF(AND(AL$3&lt;=$D22,AL$3+6&gt;=$C22),IF(AND($D22&gt;=AL$3,$D22&lt;=AL$3+6),2,1),""))</f>
        <v/>
      </c>
      <c r="AM22" s="29" t="str">
        <f aca="false">IF(OR($C22="",$D22=""),"",IF(AND(AM$3&lt;=$D22,AM$3+6&gt;=$C22),IF(AND($D22&gt;=AM$3,$D22&lt;=AM$3+6),2,1),""))</f>
        <v/>
      </c>
      <c r="AN22" s="29" t="str">
        <f aca="false">IF(OR($C22="",$D22=""),"",IF(AND(AN$3&lt;=$D22,AN$3+6&gt;=$C22),IF(AND($D22&gt;=AN$3,$D22&lt;=AN$3+6),2,1),""))</f>
        <v/>
      </c>
      <c r="AO22" s="29" t="str">
        <f aca="false">IF(OR($C22="",$D22=""),"",IF(AND(AO$3&lt;=$D22,AO$3+6&gt;=$C22),IF(AND($D22&gt;=AO$3,$D22&lt;=AO$3+6),2,1),""))</f>
        <v/>
      </c>
      <c r="AP22" s="29" t="str">
        <f aca="false">IF(OR($C22="",$D22=""),"",IF(AND(AP$3&lt;=$D22,AP$3+6&gt;=$C22),IF(AND($D22&gt;=AP$3,$D22&lt;=AP$3+6),2,1),""))</f>
        <v/>
      </c>
      <c r="AQ22" s="29" t="str">
        <f aca="false">IF(OR($C22="",$D22=""),"",IF(AND(AQ$3&lt;=$D22,AQ$3+6&gt;=$C22),IF(AND($D22&gt;=AQ$3,$D22&lt;=AQ$3+6),2,1),""))</f>
        <v/>
      </c>
      <c r="AR22" s="29" t="str">
        <f aca="false">IF(OR($C22="",$D22=""),"",IF(AND(AR$3&lt;=$D22,AR$3+6&gt;=$C22),IF(AND($D22&gt;=AR$3,$D22&lt;=AR$3+6),2,1),""))</f>
        <v/>
      </c>
      <c r="AS22" s="29" t="str">
        <f aca="false">IF(OR($C22="",$D22=""),"",IF(AND(AS$3&lt;=$D22,AS$3+6&gt;=$C22),IF(AND($D22&gt;=AS$3,$D22&lt;=AS$3+6),2,1),""))</f>
        <v/>
      </c>
      <c r="AT22" s="29" t="str">
        <f aca="false">IF(OR($C22="",$D22=""),"",IF(AND(AT$3&lt;=$D22,AT$3+6&gt;=$C22),IF(AND($D22&gt;=AT$3,$D22&lt;=AT$3+6),2,1),""))</f>
        <v/>
      </c>
      <c r="AU22" s="29" t="str">
        <f aca="false">IF(OR($C22="",$D22=""),"",IF(AND(AU$3&lt;=$D22,AU$3+6&gt;=$C22),IF(AND($D22&gt;=AU$3,$D22&lt;=AU$3+6),2,1),""))</f>
        <v/>
      </c>
      <c r="AV22" s="29" t="str">
        <f aca="false">IF(OR($C22="",$D22=""),"",IF(AND(AV$3&lt;=$D22,AV$3+6&gt;=$C22),IF(AND($D22&gt;=AV$3,$D22&lt;=AV$3+6),2,1),""))</f>
        <v/>
      </c>
      <c r="AW22" s="29" t="str">
        <f aca="false">IF(OR($C22="",$D22=""),"",IF(AND(AW$3&lt;=$D22,AW$3+6&gt;=$C22),IF(AND($D22&gt;=AW$3,$D22&lt;=AW$3+6),2,1),""))</f>
        <v/>
      </c>
      <c r="AX22" s="29" t="str">
        <f aca="false">IF(OR($C22="",$D22=""),"",IF(AND(AX$3&lt;=$D22,AX$3+6&gt;=$C22),IF(AND($D22&gt;=AX$3,$D22&lt;=AX$3+6),2,1),""))</f>
        <v/>
      </c>
      <c r="AY22" s="29" t="str">
        <f aca="false">IF(OR($C22="",$D22=""),"",IF(AND(AY$3&lt;=$D22,AY$3+6&gt;=$C22),IF(AND($D22&gt;=AY$3,$D22&lt;=AY$3+6),2,1),""))</f>
        <v/>
      </c>
      <c r="AZ22" s="29" t="str">
        <f aca="false">IF(OR($C22="",$D22=""),"",IF(AND(AZ$3&lt;=$D22,AZ$3+6&gt;=$C22),IF(AND($D22&gt;=AZ$3,$D22&lt;=AZ$3+6),2,1),""))</f>
        <v/>
      </c>
      <c r="BA22" s="29" t="str">
        <f aca="false">IF(OR($C22="",$D22=""),"",IF(AND(BA$3&lt;=$D22,BA$3+6&gt;=$C22),IF(AND($D22&gt;=BA$3,$D22&lt;=BA$3+6),2,1),""))</f>
        <v/>
      </c>
      <c r="BB22" s="29" t="str">
        <f aca="false">IF(OR($C22="",$D22=""),"",IF(AND(BB$3&lt;=$D22,BB$3+6&gt;=$C22),IF(AND($D22&gt;=BB$3,$D22&lt;=BB$3+6),2,1),""))</f>
        <v/>
      </c>
      <c r="BC22" s="29" t="str">
        <f aca="false">IF(OR($C22="",$D22=""),"",IF(AND(BC$3&lt;=$D22,BC$3+6&gt;=$C22),IF(AND($D22&gt;=BC$3,$D22&lt;=BC$3+6),2,1),""))</f>
        <v/>
      </c>
      <c r="BD22" s="29" t="str">
        <f aca="false">IF(OR($C22="",$D22=""),"",IF(AND(BD$3&lt;=$D22,BD$3+6&gt;=$C22),IF(AND($D22&gt;=BD$3,$D22&lt;=BD$3+6),2,1),""))</f>
        <v/>
      </c>
      <c r="BE22" s="29" t="str">
        <f aca="false">IF(OR($C22="",$D22=""),"",IF(AND(BE$3&lt;=$D22,BE$3+6&gt;=$C22),IF(AND($D22&gt;=BE$3,$D22&lt;=BE$3+6),2,1),""))</f>
        <v/>
      </c>
      <c r="BF22" s="29" t="str">
        <f aca="false">IF(OR($C22="",$D22=""),"",IF(AND(BF$3&lt;=$D22,BF$3+6&gt;=$C22),IF(AND($D22&gt;=BF$3,$D22&lt;=BF$3+6),2,1),""))</f>
        <v/>
      </c>
    </row>
    <row r="23" customFormat="false" ht="15" hidden="false" customHeight="true" outlineLevel="0" collapsed="false">
      <c r="A23" s="16" t="s">
        <v>180</v>
      </c>
      <c r="B23" s="27" t="str">
        <f aca="false">IFERROR(INDEX(Plan!$C$2:$C$400,MATCH($A23,Plan!$A$2:$A$400,0)),"")</f>
        <v>Automate the repo scorecard</v>
      </c>
      <c r="C23" s="28" t="n">
        <f aca="false">IFERROR(INDEX(Plan!$I$2:$I$400,MATCH($A23,Plan!$A$2:$A$400,0)),"")</f>
        <v>46328</v>
      </c>
      <c r="D23" s="28" t="n">
        <f aca="false">IFERROR(INDEX(Plan!$J$2:$J$400,MATCH($A23,Plan!$A$2:$A$400,0)),"")</f>
        <v>46339</v>
      </c>
      <c r="E23" s="29" t="str">
        <f aca="false">IF(OR($C23="",$D23=""),"",IF(AND(E$3&lt;=$D23,E$3+6&gt;=$C23),IF(AND($D23&gt;=E$3,$D23&lt;=E$3+6),2,1),""))</f>
        <v/>
      </c>
      <c r="F23" s="29" t="n">
        <f aca="false">IF(OR($C23="",$D23=""),"",IF(AND(F$3&lt;=$D23,F$3+6&gt;=$C23),IF(AND($D23&gt;=F$3,$D23&lt;=F$3+6),2,1),""))</f>
        <v>1</v>
      </c>
      <c r="G23" s="29" t="n">
        <f aca="false">IF(OR($C23="",$D23=""),"",IF(AND(G$3&lt;=$D23,G$3+6&gt;=$C23),IF(AND($D23&gt;=G$3,$D23&lt;=G$3+6),2,1),""))</f>
        <v>2</v>
      </c>
      <c r="H23" s="29" t="str">
        <f aca="false">IF(OR($C23="",$D23=""),"",IF(AND(H$3&lt;=$D23,H$3+6&gt;=$C23),IF(AND($D23&gt;=H$3,$D23&lt;=H$3+6),2,1),""))</f>
        <v/>
      </c>
      <c r="I23" s="29" t="str">
        <f aca="false">IF(OR($C23="",$D23=""),"",IF(AND(I$3&lt;=$D23,I$3+6&gt;=$C23),IF(AND($D23&gt;=I$3,$D23&lt;=I$3+6),2,1),""))</f>
        <v/>
      </c>
      <c r="J23" s="29" t="str">
        <f aca="false">IF(OR($C23="",$D23=""),"",IF(AND(J$3&lt;=$D23,J$3+6&gt;=$C23),IF(AND($D23&gt;=J$3,$D23&lt;=J$3+6),2,1),""))</f>
        <v/>
      </c>
      <c r="K23" s="29" t="str">
        <f aca="false">IF(OR($C23="",$D23=""),"",IF(AND(K$3&lt;=$D23,K$3+6&gt;=$C23),IF(AND($D23&gt;=K$3,$D23&lt;=K$3+6),2,1),""))</f>
        <v/>
      </c>
      <c r="L23" s="29" t="str">
        <f aca="false">IF(OR($C23="",$D23=""),"",IF(AND(L$3&lt;=$D23,L$3+6&gt;=$C23),IF(AND($D23&gt;=L$3,$D23&lt;=L$3+6),2,1),""))</f>
        <v/>
      </c>
      <c r="M23" s="29" t="str">
        <f aca="false">IF(OR($C23="",$D23=""),"",IF(AND(M$3&lt;=$D23,M$3+6&gt;=$C23),IF(AND($D23&gt;=M$3,$D23&lt;=M$3+6),2,1),""))</f>
        <v/>
      </c>
      <c r="N23" s="29" t="str">
        <f aca="false">IF(OR($C23="",$D23=""),"",IF(AND(N$3&lt;=$D23,N$3+6&gt;=$C23),IF(AND($D23&gt;=N$3,$D23&lt;=N$3+6),2,1),""))</f>
        <v/>
      </c>
      <c r="O23" s="29" t="str">
        <f aca="false">IF(OR($C23="",$D23=""),"",IF(AND(O$3&lt;=$D23,O$3+6&gt;=$C23),IF(AND($D23&gt;=O$3,$D23&lt;=O$3+6),2,1),""))</f>
        <v/>
      </c>
      <c r="P23" s="29" t="str">
        <f aca="false">IF(OR($C23="",$D23=""),"",IF(AND(P$3&lt;=$D23,P$3+6&gt;=$C23),IF(AND($D23&gt;=P$3,$D23&lt;=P$3+6),2,1),""))</f>
        <v/>
      </c>
      <c r="Q23" s="29" t="str">
        <f aca="false">IF(OR($C23="",$D23=""),"",IF(AND(Q$3&lt;=$D23,Q$3+6&gt;=$C23),IF(AND($D23&gt;=Q$3,$D23&lt;=Q$3+6),2,1),""))</f>
        <v/>
      </c>
      <c r="R23" s="29" t="str">
        <f aca="false">IF(OR($C23="",$D23=""),"",IF(AND(R$3&lt;=$D23,R$3+6&gt;=$C23),IF(AND($D23&gt;=R$3,$D23&lt;=R$3+6),2,1),""))</f>
        <v/>
      </c>
      <c r="S23" s="29" t="str">
        <f aca="false">IF(OR($C23="",$D23=""),"",IF(AND(S$3&lt;=$D23,S$3+6&gt;=$C23),IF(AND($D23&gt;=S$3,$D23&lt;=S$3+6),2,1),""))</f>
        <v/>
      </c>
      <c r="T23" s="29" t="str">
        <f aca="false">IF(OR($C23="",$D23=""),"",IF(AND(T$3&lt;=$D23,T$3+6&gt;=$C23),IF(AND($D23&gt;=T$3,$D23&lt;=T$3+6),2,1),""))</f>
        <v/>
      </c>
      <c r="U23" s="29" t="str">
        <f aca="false">IF(OR($C23="",$D23=""),"",IF(AND(U$3&lt;=$D23,U$3+6&gt;=$C23),IF(AND($D23&gt;=U$3,$D23&lt;=U$3+6),2,1),""))</f>
        <v/>
      </c>
      <c r="V23" s="29" t="str">
        <f aca="false">IF(OR($C23="",$D23=""),"",IF(AND(V$3&lt;=$D23,V$3+6&gt;=$C23),IF(AND($D23&gt;=V$3,$D23&lt;=V$3+6),2,1),""))</f>
        <v/>
      </c>
      <c r="W23" s="29" t="str">
        <f aca="false">IF(OR($C23="",$D23=""),"",IF(AND(W$3&lt;=$D23,W$3+6&gt;=$C23),IF(AND($D23&gt;=W$3,$D23&lt;=W$3+6),2,1),""))</f>
        <v/>
      </c>
      <c r="X23" s="29" t="str">
        <f aca="false">IF(OR($C23="",$D23=""),"",IF(AND(X$3&lt;=$D23,X$3+6&gt;=$C23),IF(AND($D23&gt;=X$3,$D23&lt;=X$3+6),2,1),""))</f>
        <v/>
      </c>
      <c r="Y23" s="29" t="str">
        <f aca="false">IF(OR($C23="",$D23=""),"",IF(AND(Y$3&lt;=$D23,Y$3+6&gt;=$C23),IF(AND($D23&gt;=Y$3,$D23&lt;=Y$3+6),2,1),""))</f>
        <v/>
      </c>
      <c r="Z23" s="29" t="str">
        <f aca="false">IF(OR($C23="",$D23=""),"",IF(AND(Z$3&lt;=$D23,Z$3+6&gt;=$C23),IF(AND($D23&gt;=Z$3,$D23&lt;=Z$3+6),2,1),""))</f>
        <v/>
      </c>
      <c r="AA23" s="29" t="str">
        <f aca="false">IF(OR($C23="",$D23=""),"",IF(AND(AA$3&lt;=$D23,AA$3+6&gt;=$C23),IF(AND($D23&gt;=AA$3,$D23&lt;=AA$3+6),2,1),""))</f>
        <v/>
      </c>
      <c r="AB23" s="29" t="str">
        <f aca="false">IF(OR($C23="",$D23=""),"",IF(AND(AB$3&lt;=$D23,AB$3+6&gt;=$C23),IF(AND($D23&gt;=AB$3,$D23&lt;=AB$3+6),2,1),""))</f>
        <v/>
      </c>
      <c r="AC23" s="29" t="str">
        <f aca="false">IF(OR($C23="",$D23=""),"",IF(AND(AC$3&lt;=$D23,AC$3+6&gt;=$C23),IF(AND($D23&gt;=AC$3,$D23&lt;=AC$3+6),2,1),""))</f>
        <v/>
      </c>
      <c r="AD23" s="29" t="str">
        <f aca="false">IF(OR($C23="",$D23=""),"",IF(AND(AD$3&lt;=$D23,AD$3+6&gt;=$C23),IF(AND($D23&gt;=AD$3,$D23&lt;=AD$3+6),2,1),""))</f>
        <v/>
      </c>
      <c r="AE23" s="29" t="str">
        <f aca="false">IF(OR($C23="",$D23=""),"",IF(AND(AE$3&lt;=$D23,AE$3+6&gt;=$C23),IF(AND($D23&gt;=AE$3,$D23&lt;=AE$3+6),2,1),""))</f>
        <v/>
      </c>
      <c r="AF23" s="29" t="str">
        <f aca="false">IF(OR($C23="",$D23=""),"",IF(AND(AF$3&lt;=$D23,AF$3+6&gt;=$C23),IF(AND($D23&gt;=AF$3,$D23&lt;=AF$3+6),2,1),""))</f>
        <v/>
      </c>
      <c r="AG23" s="29" t="str">
        <f aca="false">IF(OR($C23="",$D23=""),"",IF(AND(AG$3&lt;=$D23,AG$3+6&gt;=$C23),IF(AND($D23&gt;=AG$3,$D23&lt;=AG$3+6),2,1),""))</f>
        <v/>
      </c>
      <c r="AH23" s="29" t="str">
        <f aca="false">IF(OR($C23="",$D23=""),"",IF(AND(AH$3&lt;=$D23,AH$3+6&gt;=$C23),IF(AND($D23&gt;=AH$3,$D23&lt;=AH$3+6),2,1),""))</f>
        <v/>
      </c>
      <c r="AI23" s="29" t="str">
        <f aca="false">IF(OR($C23="",$D23=""),"",IF(AND(AI$3&lt;=$D23,AI$3+6&gt;=$C23),IF(AND($D23&gt;=AI$3,$D23&lt;=AI$3+6),2,1),""))</f>
        <v/>
      </c>
      <c r="AJ23" s="29" t="str">
        <f aca="false">IF(OR($C23="",$D23=""),"",IF(AND(AJ$3&lt;=$D23,AJ$3+6&gt;=$C23),IF(AND($D23&gt;=AJ$3,$D23&lt;=AJ$3+6),2,1),""))</f>
        <v/>
      </c>
      <c r="AK23" s="29" t="str">
        <f aca="false">IF(OR($C23="",$D23=""),"",IF(AND(AK$3&lt;=$D23,AK$3+6&gt;=$C23),IF(AND($D23&gt;=AK$3,$D23&lt;=AK$3+6),2,1),""))</f>
        <v/>
      </c>
      <c r="AL23" s="29" t="str">
        <f aca="false">IF(OR($C23="",$D23=""),"",IF(AND(AL$3&lt;=$D23,AL$3+6&gt;=$C23),IF(AND($D23&gt;=AL$3,$D23&lt;=AL$3+6),2,1),""))</f>
        <v/>
      </c>
      <c r="AM23" s="29" t="str">
        <f aca="false">IF(OR($C23="",$D23=""),"",IF(AND(AM$3&lt;=$D23,AM$3+6&gt;=$C23),IF(AND($D23&gt;=AM$3,$D23&lt;=AM$3+6),2,1),""))</f>
        <v/>
      </c>
      <c r="AN23" s="29" t="str">
        <f aca="false">IF(OR($C23="",$D23=""),"",IF(AND(AN$3&lt;=$D23,AN$3+6&gt;=$C23),IF(AND($D23&gt;=AN$3,$D23&lt;=AN$3+6),2,1),""))</f>
        <v/>
      </c>
      <c r="AO23" s="29" t="str">
        <f aca="false">IF(OR($C23="",$D23=""),"",IF(AND(AO$3&lt;=$D23,AO$3+6&gt;=$C23),IF(AND($D23&gt;=AO$3,$D23&lt;=AO$3+6),2,1),""))</f>
        <v/>
      </c>
      <c r="AP23" s="29" t="str">
        <f aca="false">IF(OR($C23="",$D23=""),"",IF(AND(AP$3&lt;=$D23,AP$3+6&gt;=$C23),IF(AND($D23&gt;=AP$3,$D23&lt;=AP$3+6),2,1),""))</f>
        <v/>
      </c>
      <c r="AQ23" s="29" t="str">
        <f aca="false">IF(OR($C23="",$D23=""),"",IF(AND(AQ$3&lt;=$D23,AQ$3+6&gt;=$C23),IF(AND($D23&gt;=AQ$3,$D23&lt;=AQ$3+6),2,1),""))</f>
        <v/>
      </c>
      <c r="AR23" s="29" t="str">
        <f aca="false">IF(OR($C23="",$D23=""),"",IF(AND(AR$3&lt;=$D23,AR$3+6&gt;=$C23),IF(AND($D23&gt;=AR$3,$D23&lt;=AR$3+6),2,1),""))</f>
        <v/>
      </c>
      <c r="AS23" s="29" t="str">
        <f aca="false">IF(OR($C23="",$D23=""),"",IF(AND(AS$3&lt;=$D23,AS$3+6&gt;=$C23),IF(AND($D23&gt;=AS$3,$D23&lt;=AS$3+6),2,1),""))</f>
        <v/>
      </c>
      <c r="AT23" s="29" t="str">
        <f aca="false">IF(OR($C23="",$D23=""),"",IF(AND(AT$3&lt;=$D23,AT$3+6&gt;=$C23),IF(AND($D23&gt;=AT$3,$D23&lt;=AT$3+6),2,1),""))</f>
        <v/>
      </c>
      <c r="AU23" s="29" t="str">
        <f aca="false">IF(OR($C23="",$D23=""),"",IF(AND(AU$3&lt;=$D23,AU$3+6&gt;=$C23),IF(AND($D23&gt;=AU$3,$D23&lt;=AU$3+6),2,1),""))</f>
        <v/>
      </c>
      <c r="AV23" s="29" t="str">
        <f aca="false">IF(OR($C23="",$D23=""),"",IF(AND(AV$3&lt;=$D23,AV$3+6&gt;=$C23),IF(AND($D23&gt;=AV$3,$D23&lt;=AV$3+6),2,1),""))</f>
        <v/>
      </c>
      <c r="AW23" s="29" t="str">
        <f aca="false">IF(OR($C23="",$D23=""),"",IF(AND(AW$3&lt;=$D23,AW$3+6&gt;=$C23),IF(AND($D23&gt;=AW$3,$D23&lt;=AW$3+6),2,1),""))</f>
        <v/>
      </c>
      <c r="AX23" s="29" t="str">
        <f aca="false">IF(OR($C23="",$D23=""),"",IF(AND(AX$3&lt;=$D23,AX$3+6&gt;=$C23),IF(AND($D23&gt;=AX$3,$D23&lt;=AX$3+6),2,1),""))</f>
        <v/>
      </c>
      <c r="AY23" s="29" t="str">
        <f aca="false">IF(OR($C23="",$D23=""),"",IF(AND(AY$3&lt;=$D23,AY$3+6&gt;=$C23),IF(AND($D23&gt;=AY$3,$D23&lt;=AY$3+6),2,1),""))</f>
        <v/>
      </c>
      <c r="AZ23" s="29" t="str">
        <f aca="false">IF(OR($C23="",$D23=""),"",IF(AND(AZ$3&lt;=$D23,AZ$3+6&gt;=$C23),IF(AND($D23&gt;=AZ$3,$D23&lt;=AZ$3+6),2,1),""))</f>
        <v/>
      </c>
      <c r="BA23" s="29" t="str">
        <f aca="false">IF(OR($C23="",$D23=""),"",IF(AND(BA$3&lt;=$D23,BA$3+6&gt;=$C23),IF(AND($D23&gt;=BA$3,$D23&lt;=BA$3+6),2,1),""))</f>
        <v/>
      </c>
      <c r="BB23" s="29" t="str">
        <f aca="false">IF(OR($C23="",$D23=""),"",IF(AND(BB$3&lt;=$D23,BB$3+6&gt;=$C23),IF(AND($D23&gt;=BB$3,$D23&lt;=BB$3+6),2,1),""))</f>
        <v/>
      </c>
      <c r="BC23" s="29" t="str">
        <f aca="false">IF(OR($C23="",$D23=""),"",IF(AND(BC$3&lt;=$D23,BC$3+6&gt;=$C23),IF(AND($D23&gt;=BC$3,$D23&lt;=BC$3+6),2,1),""))</f>
        <v/>
      </c>
      <c r="BD23" s="29" t="str">
        <f aca="false">IF(OR($C23="",$D23=""),"",IF(AND(BD$3&lt;=$D23,BD$3+6&gt;=$C23),IF(AND($D23&gt;=BD$3,$D23&lt;=BD$3+6),2,1),""))</f>
        <v/>
      </c>
      <c r="BE23" s="29" t="str">
        <f aca="false">IF(OR($C23="",$D23=""),"",IF(AND(BE$3&lt;=$D23,BE$3+6&gt;=$C23),IF(AND($D23&gt;=BE$3,$D23&lt;=BE$3+6),2,1),""))</f>
        <v/>
      </c>
      <c r="BF23" s="29" t="str">
        <f aca="false">IF(OR($C23="",$D23=""),"",IF(AND(BF$3&lt;=$D23,BF$3+6&gt;=$C23),IF(AND($D23&gt;=BF$3,$D23&lt;=BF$3+6),2,1),""))</f>
        <v/>
      </c>
    </row>
    <row r="24" customFormat="false" ht="15" hidden="false" customHeight="true" outlineLevel="0" collapsed="false">
      <c r="A24" s="16" t="s">
        <v>186</v>
      </c>
      <c r="B24" s="27" t="str">
        <f aca="false">IFERROR(INDEX(Plan!$C$2:$C$400,MATCH($A24,Plan!$A$2:$A$400,0)),"")</f>
        <v>Rollout wave 1: 27 to 40 of 48 repos</v>
      </c>
      <c r="C24" s="28" t="n">
        <f aca="false">IFERROR(INDEX(Plan!$I$2:$I$400,MATCH($A24,Plan!$A$2:$A$400,0)),"")</f>
        <v>46328</v>
      </c>
      <c r="D24" s="28" t="n">
        <f aca="false">IFERROR(INDEX(Plan!$J$2:$J$400,MATCH($A24,Plan!$A$2:$A$400,0)),"")</f>
        <v>46356</v>
      </c>
      <c r="E24" s="29" t="str">
        <f aca="false">IF(OR($C24="",$D24=""),"",IF(AND(E$3&lt;=$D24,E$3+6&gt;=$C24),IF(AND($D24&gt;=E$3,$D24&lt;=E$3+6),2,1),""))</f>
        <v/>
      </c>
      <c r="F24" s="29" t="n">
        <f aca="false">IF(OR($C24="",$D24=""),"",IF(AND(F$3&lt;=$D24,F$3+6&gt;=$C24),IF(AND($D24&gt;=F$3,$D24&lt;=F$3+6),2,1),""))</f>
        <v>1</v>
      </c>
      <c r="G24" s="29" t="n">
        <f aca="false">IF(OR($C24="",$D24=""),"",IF(AND(G$3&lt;=$D24,G$3+6&gt;=$C24),IF(AND($D24&gt;=G$3,$D24&lt;=G$3+6),2,1),""))</f>
        <v>1</v>
      </c>
      <c r="H24" s="29" t="n">
        <f aca="false">IF(OR($C24="",$D24=""),"",IF(AND(H$3&lt;=$D24,H$3+6&gt;=$C24),IF(AND($D24&gt;=H$3,$D24&lt;=H$3+6),2,1),""))</f>
        <v>1</v>
      </c>
      <c r="I24" s="29" t="n">
        <f aca="false">IF(OR($C24="",$D24=""),"",IF(AND(I$3&lt;=$D24,I$3+6&gt;=$C24),IF(AND($D24&gt;=I$3,$D24&lt;=I$3+6),2,1),""))</f>
        <v>1</v>
      </c>
      <c r="J24" s="29" t="n">
        <f aca="false">IF(OR($C24="",$D24=""),"",IF(AND(J$3&lt;=$D24,J$3+6&gt;=$C24),IF(AND($D24&gt;=J$3,$D24&lt;=J$3+6),2,1),""))</f>
        <v>2</v>
      </c>
      <c r="K24" s="29" t="str">
        <f aca="false">IF(OR($C24="",$D24=""),"",IF(AND(K$3&lt;=$D24,K$3+6&gt;=$C24),IF(AND($D24&gt;=K$3,$D24&lt;=K$3+6),2,1),""))</f>
        <v/>
      </c>
      <c r="L24" s="29" t="str">
        <f aca="false">IF(OR($C24="",$D24=""),"",IF(AND(L$3&lt;=$D24,L$3+6&gt;=$C24),IF(AND($D24&gt;=L$3,$D24&lt;=L$3+6),2,1),""))</f>
        <v/>
      </c>
      <c r="M24" s="29" t="str">
        <f aca="false">IF(OR($C24="",$D24=""),"",IF(AND(M$3&lt;=$D24,M$3+6&gt;=$C24),IF(AND($D24&gt;=M$3,$D24&lt;=M$3+6),2,1),""))</f>
        <v/>
      </c>
      <c r="N24" s="29" t="str">
        <f aca="false">IF(OR($C24="",$D24=""),"",IF(AND(N$3&lt;=$D24,N$3+6&gt;=$C24),IF(AND($D24&gt;=N$3,$D24&lt;=N$3+6),2,1),""))</f>
        <v/>
      </c>
      <c r="O24" s="29" t="str">
        <f aca="false">IF(OR($C24="",$D24=""),"",IF(AND(O$3&lt;=$D24,O$3+6&gt;=$C24),IF(AND($D24&gt;=O$3,$D24&lt;=O$3+6),2,1),""))</f>
        <v/>
      </c>
      <c r="P24" s="29" t="str">
        <f aca="false">IF(OR($C24="",$D24=""),"",IF(AND(P$3&lt;=$D24,P$3+6&gt;=$C24),IF(AND($D24&gt;=P$3,$D24&lt;=P$3+6),2,1),""))</f>
        <v/>
      </c>
      <c r="Q24" s="29" t="str">
        <f aca="false">IF(OR($C24="",$D24=""),"",IF(AND(Q$3&lt;=$D24,Q$3+6&gt;=$C24),IF(AND($D24&gt;=Q$3,$D24&lt;=Q$3+6),2,1),""))</f>
        <v/>
      </c>
      <c r="R24" s="29" t="str">
        <f aca="false">IF(OR($C24="",$D24=""),"",IF(AND(R$3&lt;=$D24,R$3+6&gt;=$C24),IF(AND($D24&gt;=R$3,$D24&lt;=R$3+6),2,1),""))</f>
        <v/>
      </c>
      <c r="S24" s="29" t="str">
        <f aca="false">IF(OR($C24="",$D24=""),"",IF(AND(S$3&lt;=$D24,S$3+6&gt;=$C24),IF(AND($D24&gt;=S$3,$D24&lt;=S$3+6),2,1),""))</f>
        <v/>
      </c>
      <c r="T24" s="29" t="str">
        <f aca="false">IF(OR($C24="",$D24=""),"",IF(AND(T$3&lt;=$D24,T$3+6&gt;=$C24),IF(AND($D24&gt;=T$3,$D24&lt;=T$3+6),2,1),""))</f>
        <v/>
      </c>
      <c r="U24" s="29" t="str">
        <f aca="false">IF(OR($C24="",$D24=""),"",IF(AND(U$3&lt;=$D24,U$3+6&gt;=$C24),IF(AND($D24&gt;=U$3,$D24&lt;=U$3+6),2,1),""))</f>
        <v/>
      </c>
      <c r="V24" s="29" t="str">
        <f aca="false">IF(OR($C24="",$D24=""),"",IF(AND(V$3&lt;=$D24,V$3+6&gt;=$C24),IF(AND($D24&gt;=V$3,$D24&lt;=V$3+6),2,1),""))</f>
        <v/>
      </c>
      <c r="W24" s="29" t="str">
        <f aca="false">IF(OR($C24="",$D24=""),"",IF(AND(W$3&lt;=$D24,W$3+6&gt;=$C24),IF(AND($D24&gt;=W$3,$D24&lt;=W$3+6),2,1),""))</f>
        <v/>
      </c>
      <c r="X24" s="29" t="str">
        <f aca="false">IF(OR($C24="",$D24=""),"",IF(AND(X$3&lt;=$D24,X$3+6&gt;=$C24),IF(AND($D24&gt;=X$3,$D24&lt;=X$3+6),2,1),""))</f>
        <v/>
      </c>
      <c r="Y24" s="29" t="str">
        <f aca="false">IF(OR($C24="",$D24=""),"",IF(AND(Y$3&lt;=$D24,Y$3+6&gt;=$C24),IF(AND($D24&gt;=Y$3,$D24&lt;=Y$3+6),2,1),""))</f>
        <v/>
      </c>
      <c r="Z24" s="29" t="str">
        <f aca="false">IF(OR($C24="",$D24=""),"",IF(AND(Z$3&lt;=$D24,Z$3+6&gt;=$C24),IF(AND($D24&gt;=Z$3,$D24&lt;=Z$3+6),2,1),""))</f>
        <v/>
      </c>
      <c r="AA24" s="29" t="str">
        <f aca="false">IF(OR($C24="",$D24=""),"",IF(AND(AA$3&lt;=$D24,AA$3+6&gt;=$C24),IF(AND($D24&gt;=AA$3,$D24&lt;=AA$3+6),2,1),""))</f>
        <v/>
      </c>
      <c r="AB24" s="29" t="str">
        <f aca="false">IF(OR($C24="",$D24=""),"",IF(AND(AB$3&lt;=$D24,AB$3+6&gt;=$C24),IF(AND($D24&gt;=AB$3,$D24&lt;=AB$3+6),2,1),""))</f>
        <v/>
      </c>
      <c r="AC24" s="29" t="str">
        <f aca="false">IF(OR($C24="",$D24=""),"",IF(AND(AC$3&lt;=$D24,AC$3+6&gt;=$C24),IF(AND($D24&gt;=AC$3,$D24&lt;=AC$3+6),2,1),""))</f>
        <v/>
      </c>
      <c r="AD24" s="29" t="str">
        <f aca="false">IF(OR($C24="",$D24=""),"",IF(AND(AD$3&lt;=$D24,AD$3+6&gt;=$C24),IF(AND($D24&gt;=AD$3,$D24&lt;=AD$3+6),2,1),""))</f>
        <v/>
      </c>
      <c r="AE24" s="29" t="str">
        <f aca="false">IF(OR($C24="",$D24=""),"",IF(AND(AE$3&lt;=$D24,AE$3+6&gt;=$C24),IF(AND($D24&gt;=AE$3,$D24&lt;=AE$3+6),2,1),""))</f>
        <v/>
      </c>
      <c r="AF24" s="29" t="str">
        <f aca="false">IF(OR($C24="",$D24=""),"",IF(AND(AF$3&lt;=$D24,AF$3+6&gt;=$C24),IF(AND($D24&gt;=AF$3,$D24&lt;=AF$3+6),2,1),""))</f>
        <v/>
      </c>
      <c r="AG24" s="29" t="str">
        <f aca="false">IF(OR($C24="",$D24=""),"",IF(AND(AG$3&lt;=$D24,AG$3+6&gt;=$C24),IF(AND($D24&gt;=AG$3,$D24&lt;=AG$3+6),2,1),""))</f>
        <v/>
      </c>
      <c r="AH24" s="29" t="str">
        <f aca="false">IF(OR($C24="",$D24=""),"",IF(AND(AH$3&lt;=$D24,AH$3+6&gt;=$C24),IF(AND($D24&gt;=AH$3,$D24&lt;=AH$3+6),2,1),""))</f>
        <v/>
      </c>
      <c r="AI24" s="29" t="str">
        <f aca="false">IF(OR($C24="",$D24=""),"",IF(AND(AI$3&lt;=$D24,AI$3+6&gt;=$C24),IF(AND($D24&gt;=AI$3,$D24&lt;=AI$3+6),2,1),""))</f>
        <v/>
      </c>
      <c r="AJ24" s="29" t="str">
        <f aca="false">IF(OR($C24="",$D24=""),"",IF(AND(AJ$3&lt;=$D24,AJ$3+6&gt;=$C24),IF(AND($D24&gt;=AJ$3,$D24&lt;=AJ$3+6),2,1),""))</f>
        <v/>
      </c>
      <c r="AK24" s="29" t="str">
        <f aca="false">IF(OR($C24="",$D24=""),"",IF(AND(AK$3&lt;=$D24,AK$3+6&gt;=$C24),IF(AND($D24&gt;=AK$3,$D24&lt;=AK$3+6),2,1),""))</f>
        <v/>
      </c>
      <c r="AL24" s="29" t="str">
        <f aca="false">IF(OR($C24="",$D24=""),"",IF(AND(AL$3&lt;=$D24,AL$3+6&gt;=$C24),IF(AND($D24&gt;=AL$3,$D24&lt;=AL$3+6),2,1),""))</f>
        <v/>
      </c>
      <c r="AM24" s="29" t="str">
        <f aca="false">IF(OR($C24="",$D24=""),"",IF(AND(AM$3&lt;=$D24,AM$3+6&gt;=$C24),IF(AND($D24&gt;=AM$3,$D24&lt;=AM$3+6),2,1),""))</f>
        <v/>
      </c>
      <c r="AN24" s="29" t="str">
        <f aca="false">IF(OR($C24="",$D24=""),"",IF(AND(AN$3&lt;=$D24,AN$3+6&gt;=$C24),IF(AND($D24&gt;=AN$3,$D24&lt;=AN$3+6),2,1),""))</f>
        <v/>
      </c>
      <c r="AO24" s="29" t="str">
        <f aca="false">IF(OR($C24="",$D24=""),"",IF(AND(AO$3&lt;=$D24,AO$3+6&gt;=$C24),IF(AND($D24&gt;=AO$3,$D24&lt;=AO$3+6),2,1),""))</f>
        <v/>
      </c>
      <c r="AP24" s="29" t="str">
        <f aca="false">IF(OR($C24="",$D24=""),"",IF(AND(AP$3&lt;=$D24,AP$3+6&gt;=$C24),IF(AND($D24&gt;=AP$3,$D24&lt;=AP$3+6),2,1),""))</f>
        <v/>
      </c>
      <c r="AQ24" s="29" t="str">
        <f aca="false">IF(OR($C24="",$D24=""),"",IF(AND(AQ$3&lt;=$D24,AQ$3+6&gt;=$C24),IF(AND($D24&gt;=AQ$3,$D24&lt;=AQ$3+6),2,1),""))</f>
        <v/>
      </c>
      <c r="AR24" s="29" t="str">
        <f aca="false">IF(OR($C24="",$D24=""),"",IF(AND(AR$3&lt;=$D24,AR$3+6&gt;=$C24),IF(AND($D24&gt;=AR$3,$D24&lt;=AR$3+6),2,1),""))</f>
        <v/>
      </c>
      <c r="AS24" s="29" t="str">
        <f aca="false">IF(OR($C24="",$D24=""),"",IF(AND(AS$3&lt;=$D24,AS$3+6&gt;=$C24),IF(AND($D24&gt;=AS$3,$D24&lt;=AS$3+6),2,1),""))</f>
        <v/>
      </c>
      <c r="AT24" s="29" t="str">
        <f aca="false">IF(OR($C24="",$D24=""),"",IF(AND(AT$3&lt;=$D24,AT$3+6&gt;=$C24),IF(AND($D24&gt;=AT$3,$D24&lt;=AT$3+6),2,1),""))</f>
        <v/>
      </c>
      <c r="AU24" s="29" t="str">
        <f aca="false">IF(OR($C24="",$D24=""),"",IF(AND(AU$3&lt;=$D24,AU$3+6&gt;=$C24),IF(AND($D24&gt;=AU$3,$D24&lt;=AU$3+6),2,1),""))</f>
        <v/>
      </c>
      <c r="AV24" s="29" t="str">
        <f aca="false">IF(OR($C24="",$D24=""),"",IF(AND(AV$3&lt;=$D24,AV$3+6&gt;=$C24),IF(AND($D24&gt;=AV$3,$D24&lt;=AV$3+6),2,1),""))</f>
        <v/>
      </c>
      <c r="AW24" s="29" t="str">
        <f aca="false">IF(OR($C24="",$D24=""),"",IF(AND(AW$3&lt;=$D24,AW$3+6&gt;=$C24),IF(AND($D24&gt;=AW$3,$D24&lt;=AW$3+6),2,1),""))</f>
        <v/>
      </c>
      <c r="AX24" s="29" t="str">
        <f aca="false">IF(OR($C24="",$D24=""),"",IF(AND(AX$3&lt;=$D24,AX$3+6&gt;=$C24),IF(AND($D24&gt;=AX$3,$D24&lt;=AX$3+6),2,1),""))</f>
        <v/>
      </c>
      <c r="AY24" s="29" t="str">
        <f aca="false">IF(OR($C24="",$D24=""),"",IF(AND(AY$3&lt;=$D24,AY$3+6&gt;=$C24),IF(AND($D24&gt;=AY$3,$D24&lt;=AY$3+6),2,1),""))</f>
        <v/>
      </c>
      <c r="AZ24" s="29" t="str">
        <f aca="false">IF(OR($C24="",$D24=""),"",IF(AND(AZ$3&lt;=$D24,AZ$3+6&gt;=$C24),IF(AND($D24&gt;=AZ$3,$D24&lt;=AZ$3+6),2,1),""))</f>
        <v/>
      </c>
      <c r="BA24" s="29" t="str">
        <f aca="false">IF(OR($C24="",$D24=""),"",IF(AND(BA$3&lt;=$D24,BA$3+6&gt;=$C24),IF(AND($D24&gt;=BA$3,$D24&lt;=BA$3+6),2,1),""))</f>
        <v/>
      </c>
      <c r="BB24" s="29" t="str">
        <f aca="false">IF(OR($C24="",$D24=""),"",IF(AND(BB$3&lt;=$D24,BB$3+6&gt;=$C24),IF(AND($D24&gt;=BB$3,$D24&lt;=BB$3+6),2,1),""))</f>
        <v/>
      </c>
      <c r="BC24" s="29" t="str">
        <f aca="false">IF(OR($C24="",$D24=""),"",IF(AND(BC$3&lt;=$D24,BC$3+6&gt;=$C24),IF(AND($D24&gt;=BC$3,$D24&lt;=BC$3+6),2,1),""))</f>
        <v/>
      </c>
      <c r="BD24" s="29" t="str">
        <f aca="false">IF(OR($C24="",$D24=""),"",IF(AND(BD$3&lt;=$D24,BD$3+6&gt;=$C24),IF(AND($D24&gt;=BD$3,$D24&lt;=BD$3+6),2,1),""))</f>
        <v/>
      </c>
      <c r="BE24" s="29" t="str">
        <f aca="false">IF(OR($C24="",$D24=""),"",IF(AND(BE$3&lt;=$D24,BE$3+6&gt;=$C24),IF(AND($D24&gt;=BE$3,$D24&lt;=BE$3+6),2,1),""))</f>
        <v/>
      </c>
      <c r="BF24" s="29" t="str">
        <f aca="false">IF(OR($C24="",$D24=""),"",IF(AND(BF$3&lt;=$D24,BF$3+6&gt;=$C24),IF(AND($D24&gt;=BF$3,$D24&lt;=BF$3+6),2,1),""))</f>
        <v/>
      </c>
    </row>
    <row r="25" customFormat="false" ht="15" hidden="false" customHeight="true" outlineLevel="0" collapsed="false">
      <c r="A25" s="16" t="s">
        <v>194</v>
      </c>
      <c r="B25" s="27" t="str">
        <f aca="false">IFERROR(INDEX(Plan!$C$2:$C$400,MATCH($A25,Plan!$A$2:$A$400,0)),"")</f>
        <v>Rollout wave 2: 40 to 48 of 48 repos</v>
      </c>
      <c r="C25" s="28" t="n">
        <f aca="false">IFERROR(INDEX(Plan!$I$2:$I$400,MATCH($A25,Plan!$A$2:$A$400,0)),"")</f>
        <v>46357</v>
      </c>
      <c r="D25" s="28" t="n">
        <f aca="false">IFERROR(INDEX(Plan!$J$2:$J$400,MATCH($A25,Plan!$A$2:$A$400,0)),"")</f>
        <v>46416</v>
      </c>
      <c r="E25" s="29" t="str">
        <f aca="false">IF(OR($C25="",$D25=""),"",IF(AND(E$3&lt;=$D25,E$3+6&gt;=$C25),IF(AND($D25&gt;=E$3,$D25&lt;=E$3+6),2,1),""))</f>
        <v/>
      </c>
      <c r="F25" s="29" t="str">
        <f aca="false">IF(OR($C25="",$D25=""),"",IF(AND(F$3&lt;=$D25,F$3+6&gt;=$C25),IF(AND($D25&gt;=F$3,$D25&lt;=F$3+6),2,1),""))</f>
        <v/>
      </c>
      <c r="G25" s="29" t="str">
        <f aca="false">IF(OR($C25="",$D25=""),"",IF(AND(G$3&lt;=$D25,G$3+6&gt;=$C25),IF(AND($D25&gt;=G$3,$D25&lt;=G$3+6),2,1),""))</f>
        <v/>
      </c>
      <c r="H25" s="29" t="str">
        <f aca="false">IF(OR($C25="",$D25=""),"",IF(AND(H$3&lt;=$D25,H$3+6&gt;=$C25),IF(AND($D25&gt;=H$3,$D25&lt;=H$3+6),2,1),""))</f>
        <v/>
      </c>
      <c r="I25" s="29" t="str">
        <f aca="false">IF(OR($C25="",$D25=""),"",IF(AND(I$3&lt;=$D25,I$3+6&gt;=$C25),IF(AND($D25&gt;=I$3,$D25&lt;=I$3+6),2,1),""))</f>
        <v/>
      </c>
      <c r="J25" s="29" t="n">
        <f aca="false">IF(OR($C25="",$D25=""),"",IF(AND(J$3&lt;=$D25,J$3+6&gt;=$C25),IF(AND($D25&gt;=J$3,$D25&lt;=J$3+6),2,1),""))</f>
        <v>1</v>
      </c>
      <c r="K25" s="29" t="n">
        <f aca="false">IF(OR($C25="",$D25=""),"",IF(AND(K$3&lt;=$D25,K$3+6&gt;=$C25),IF(AND($D25&gt;=K$3,$D25&lt;=K$3+6),2,1),""))</f>
        <v>1</v>
      </c>
      <c r="L25" s="29" t="n">
        <f aca="false">IF(OR($C25="",$D25=""),"",IF(AND(L$3&lt;=$D25,L$3+6&gt;=$C25),IF(AND($D25&gt;=L$3,$D25&lt;=L$3+6),2,1),""))</f>
        <v>1</v>
      </c>
      <c r="M25" s="29" t="n">
        <f aca="false">IF(OR($C25="",$D25=""),"",IF(AND(M$3&lt;=$D25,M$3+6&gt;=$C25),IF(AND($D25&gt;=M$3,$D25&lt;=M$3+6),2,1),""))</f>
        <v>1</v>
      </c>
      <c r="N25" s="29" t="n">
        <f aca="false">IF(OR($C25="",$D25=""),"",IF(AND(N$3&lt;=$D25,N$3+6&gt;=$C25),IF(AND($D25&gt;=N$3,$D25&lt;=N$3+6),2,1),""))</f>
        <v>1</v>
      </c>
      <c r="O25" s="29" t="n">
        <f aca="false">IF(OR($C25="",$D25=""),"",IF(AND(O$3&lt;=$D25,O$3+6&gt;=$C25),IF(AND($D25&gt;=O$3,$D25&lt;=O$3+6),2,1),""))</f>
        <v>1</v>
      </c>
      <c r="P25" s="29" t="n">
        <f aca="false">IF(OR($C25="",$D25=""),"",IF(AND(P$3&lt;=$D25,P$3+6&gt;=$C25),IF(AND($D25&gt;=P$3,$D25&lt;=P$3+6),2,1),""))</f>
        <v>1</v>
      </c>
      <c r="Q25" s="29" t="n">
        <f aca="false">IF(OR($C25="",$D25=""),"",IF(AND(Q$3&lt;=$D25,Q$3+6&gt;=$C25),IF(AND($D25&gt;=Q$3,$D25&lt;=Q$3+6),2,1),""))</f>
        <v>1</v>
      </c>
      <c r="R25" s="29" t="n">
        <f aca="false">IF(OR($C25="",$D25=""),"",IF(AND(R$3&lt;=$D25,R$3+6&gt;=$C25),IF(AND($D25&gt;=R$3,$D25&lt;=R$3+6),2,1),""))</f>
        <v>2</v>
      </c>
      <c r="S25" s="29" t="str">
        <f aca="false">IF(OR($C25="",$D25=""),"",IF(AND(S$3&lt;=$D25,S$3+6&gt;=$C25),IF(AND($D25&gt;=S$3,$D25&lt;=S$3+6),2,1),""))</f>
        <v/>
      </c>
      <c r="T25" s="29" t="str">
        <f aca="false">IF(OR($C25="",$D25=""),"",IF(AND(T$3&lt;=$D25,T$3+6&gt;=$C25),IF(AND($D25&gt;=T$3,$D25&lt;=T$3+6),2,1),""))</f>
        <v/>
      </c>
      <c r="U25" s="29" t="str">
        <f aca="false">IF(OR($C25="",$D25=""),"",IF(AND(U$3&lt;=$D25,U$3+6&gt;=$C25),IF(AND($D25&gt;=U$3,$D25&lt;=U$3+6),2,1),""))</f>
        <v/>
      </c>
      <c r="V25" s="29" t="str">
        <f aca="false">IF(OR($C25="",$D25=""),"",IF(AND(V$3&lt;=$D25,V$3+6&gt;=$C25),IF(AND($D25&gt;=V$3,$D25&lt;=V$3+6),2,1),""))</f>
        <v/>
      </c>
      <c r="W25" s="29" t="str">
        <f aca="false">IF(OR($C25="",$D25=""),"",IF(AND(W$3&lt;=$D25,W$3+6&gt;=$C25),IF(AND($D25&gt;=W$3,$D25&lt;=W$3+6),2,1),""))</f>
        <v/>
      </c>
      <c r="X25" s="29" t="str">
        <f aca="false">IF(OR($C25="",$D25=""),"",IF(AND(X$3&lt;=$D25,X$3+6&gt;=$C25),IF(AND($D25&gt;=X$3,$D25&lt;=X$3+6),2,1),""))</f>
        <v/>
      </c>
      <c r="Y25" s="29" t="str">
        <f aca="false">IF(OR($C25="",$D25=""),"",IF(AND(Y$3&lt;=$D25,Y$3+6&gt;=$C25),IF(AND($D25&gt;=Y$3,$D25&lt;=Y$3+6),2,1),""))</f>
        <v/>
      </c>
      <c r="Z25" s="29" t="str">
        <f aca="false">IF(OR($C25="",$D25=""),"",IF(AND(Z$3&lt;=$D25,Z$3+6&gt;=$C25),IF(AND($D25&gt;=Z$3,$D25&lt;=Z$3+6),2,1),""))</f>
        <v/>
      </c>
      <c r="AA25" s="29" t="str">
        <f aca="false">IF(OR($C25="",$D25=""),"",IF(AND(AA$3&lt;=$D25,AA$3+6&gt;=$C25),IF(AND($D25&gt;=AA$3,$D25&lt;=AA$3+6),2,1),""))</f>
        <v/>
      </c>
      <c r="AB25" s="29" t="str">
        <f aca="false">IF(OR($C25="",$D25=""),"",IF(AND(AB$3&lt;=$D25,AB$3+6&gt;=$C25),IF(AND($D25&gt;=AB$3,$D25&lt;=AB$3+6),2,1),""))</f>
        <v/>
      </c>
      <c r="AC25" s="29" t="str">
        <f aca="false">IF(OR($C25="",$D25=""),"",IF(AND(AC$3&lt;=$D25,AC$3+6&gt;=$C25),IF(AND($D25&gt;=AC$3,$D25&lt;=AC$3+6),2,1),""))</f>
        <v/>
      </c>
      <c r="AD25" s="29" t="str">
        <f aca="false">IF(OR($C25="",$D25=""),"",IF(AND(AD$3&lt;=$D25,AD$3+6&gt;=$C25),IF(AND($D25&gt;=AD$3,$D25&lt;=AD$3+6),2,1),""))</f>
        <v/>
      </c>
      <c r="AE25" s="29" t="str">
        <f aca="false">IF(OR($C25="",$D25=""),"",IF(AND(AE$3&lt;=$D25,AE$3+6&gt;=$C25),IF(AND($D25&gt;=AE$3,$D25&lt;=AE$3+6),2,1),""))</f>
        <v/>
      </c>
      <c r="AF25" s="29" t="str">
        <f aca="false">IF(OR($C25="",$D25=""),"",IF(AND(AF$3&lt;=$D25,AF$3+6&gt;=$C25),IF(AND($D25&gt;=AF$3,$D25&lt;=AF$3+6),2,1),""))</f>
        <v/>
      </c>
      <c r="AG25" s="29" t="str">
        <f aca="false">IF(OR($C25="",$D25=""),"",IF(AND(AG$3&lt;=$D25,AG$3+6&gt;=$C25),IF(AND($D25&gt;=AG$3,$D25&lt;=AG$3+6),2,1),""))</f>
        <v/>
      </c>
      <c r="AH25" s="29" t="str">
        <f aca="false">IF(OR($C25="",$D25=""),"",IF(AND(AH$3&lt;=$D25,AH$3+6&gt;=$C25),IF(AND($D25&gt;=AH$3,$D25&lt;=AH$3+6),2,1),""))</f>
        <v/>
      </c>
      <c r="AI25" s="29" t="str">
        <f aca="false">IF(OR($C25="",$D25=""),"",IF(AND(AI$3&lt;=$D25,AI$3+6&gt;=$C25),IF(AND($D25&gt;=AI$3,$D25&lt;=AI$3+6),2,1),""))</f>
        <v/>
      </c>
      <c r="AJ25" s="29" t="str">
        <f aca="false">IF(OR($C25="",$D25=""),"",IF(AND(AJ$3&lt;=$D25,AJ$3+6&gt;=$C25),IF(AND($D25&gt;=AJ$3,$D25&lt;=AJ$3+6),2,1),""))</f>
        <v/>
      </c>
      <c r="AK25" s="29" t="str">
        <f aca="false">IF(OR($C25="",$D25=""),"",IF(AND(AK$3&lt;=$D25,AK$3+6&gt;=$C25),IF(AND($D25&gt;=AK$3,$D25&lt;=AK$3+6),2,1),""))</f>
        <v/>
      </c>
      <c r="AL25" s="29" t="str">
        <f aca="false">IF(OR($C25="",$D25=""),"",IF(AND(AL$3&lt;=$D25,AL$3+6&gt;=$C25),IF(AND($D25&gt;=AL$3,$D25&lt;=AL$3+6),2,1),""))</f>
        <v/>
      </c>
      <c r="AM25" s="29" t="str">
        <f aca="false">IF(OR($C25="",$D25=""),"",IF(AND(AM$3&lt;=$D25,AM$3+6&gt;=$C25),IF(AND($D25&gt;=AM$3,$D25&lt;=AM$3+6),2,1),""))</f>
        <v/>
      </c>
      <c r="AN25" s="29" t="str">
        <f aca="false">IF(OR($C25="",$D25=""),"",IF(AND(AN$3&lt;=$D25,AN$3+6&gt;=$C25),IF(AND($D25&gt;=AN$3,$D25&lt;=AN$3+6),2,1),""))</f>
        <v/>
      </c>
      <c r="AO25" s="29" t="str">
        <f aca="false">IF(OR($C25="",$D25=""),"",IF(AND(AO$3&lt;=$D25,AO$3+6&gt;=$C25),IF(AND($D25&gt;=AO$3,$D25&lt;=AO$3+6),2,1),""))</f>
        <v/>
      </c>
      <c r="AP25" s="29" t="str">
        <f aca="false">IF(OR($C25="",$D25=""),"",IF(AND(AP$3&lt;=$D25,AP$3+6&gt;=$C25),IF(AND($D25&gt;=AP$3,$D25&lt;=AP$3+6),2,1),""))</f>
        <v/>
      </c>
      <c r="AQ25" s="29" t="str">
        <f aca="false">IF(OR($C25="",$D25=""),"",IF(AND(AQ$3&lt;=$D25,AQ$3+6&gt;=$C25),IF(AND($D25&gt;=AQ$3,$D25&lt;=AQ$3+6),2,1),""))</f>
        <v/>
      </c>
      <c r="AR25" s="29" t="str">
        <f aca="false">IF(OR($C25="",$D25=""),"",IF(AND(AR$3&lt;=$D25,AR$3+6&gt;=$C25),IF(AND($D25&gt;=AR$3,$D25&lt;=AR$3+6),2,1),""))</f>
        <v/>
      </c>
      <c r="AS25" s="29" t="str">
        <f aca="false">IF(OR($C25="",$D25=""),"",IF(AND(AS$3&lt;=$D25,AS$3+6&gt;=$C25),IF(AND($D25&gt;=AS$3,$D25&lt;=AS$3+6),2,1),""))</f>
        <v/>
      </c>
      <c r="AT25" s="29" t="str">
        <f aca="false">IF(OR($C25="",$D25=""),"",IF(AND(AT$3&lt;=$D25,AT$3+6&gt;=$C25),IF(AND($D25&gt;=AT$3,$D25&lt;=AT$3+6),2,1),""))</f>
        <v/>
      </c>
      <c r="AU25" s="29" t="str">
        <f aca="false">IF(OR($C25="",$D25=""),"",IF(AND(AU$3&lt;=$D25,AU$3+6&gt;=$C25),IF(AND($D25&gt;=AU$3,$D25&lt;=AU$3+6),2,1),""))</f>
        <v/>
      </c>
      <c r="AV25" s="29" t="str">
        <f aca="false">IF(OR($C25="",$D25=""),"",IF(AND(AV$3&lt;=$D25,AV$3+6&gt;=$C25),IF(AND($D25&gt;=AV$3,$D25&lt;=AV$3+6),2,1),""))</f>
        <v/>
      </c>
      <c r="AW25" s="29" t="str">
        <f aca="false">IF(OR($C25="",$D25=""),"",IF(AND(AW$3&lt;=$D25,AW$3+6&gt;=$C25),IF(AND($D25&gt;=AW$3,$D25&lt;=AW$3+6),2,1),""))</f>
        <v/>
      </c>
      <c r="AX25" s="29" t="str">
        <f aca="false">IF(OR($C25="",$D25=""),"",IF(AND(AX$3&lt;=$D25,AX$3+6&gt;=$C25),IF(AND($D25&gt;=AX$3,$D25&lt;=AX$3+6),2,1),""))</f>
        <v/>
      </c>
      <c r="AY25" s="29" t="str">
        <f aca="false">IF(OR($C25="",$D25=""),"",IF(AND(AY$3&lt;=$D25,AY$3+6&gt;=$C25),IF(AND($D25&gt;=AY$3,$D25&lt;=AY$3+6),2,1),""))</f>
        <v/>
      </c>
      <c r="AZ25" s="29" t="str">
        <f aca="false">IF(OR($C25="",$D25=""),"",IF(AND(AZ$3&lt;=$D25,AZ$3+6&gt;=$C25),IF(AND($D25&gt;=AZ$3,$D25&lt;=AZ$3+6),2,1),""))</f>
        <v/>
      </c>
      <c r="BA25" s="29" t="str">
        <f aca="false">IF(OR($C25="",$D25=""),"",IF(AND(BA$3&lt;=$D25,BA$3+6&gt;=$C25),IF(AND($D25&gt;=BA$3,$D25&lt;=BA$3+6),2,1),""))</f>
        <v/>
      </c>
      <c r="BB25" s="29" t="str">
        <f aca="false">IF(OR($C25="",$D25=""),"",IF(AND(BB$3&lt;=$D25,BB$3+6&gt;=$C25),IF(AND($D25&gt;=BB$3,$D25&lt;=BB$3+6),2,1),""))</f>
        <v/>
      </c>
      <c r="BC25" s="29" t="str">
        <f aca="false">IF(OR($C25="",$D25=""),"",IF(AND(BC$3&lt;=$D25,BC$3+6&gt;=$C25),IF(AND($D25&gt;=BC$3,$D25&lt;=BC$3+6),2,1),""))</f>
        <v/>
      </c>
      <c r="BD25" s="29" t="str">
        <f aca="false">IF(OR($C25="",$D25=""),"",IF(AND(BD$3&lt;=$D25,BD$3+6&gt;=$C25),IF(AND($D25&gt;=BD$3,$D25&lt;=BD$3+6),2,1),""))</f>
        <v/>
      </c>
      <c r="BE25" s="29" t="str">
        <f aca="false">IF(OR($C25="",$D25=""),"",IF(AND(BE$3&lt;=$D25,BE$3+6&gt;=$C25),IF(AND($D25&gt;=BE$3,$D25&lt;=BE$3+6),2,1),""))</f>
        <v/>
      </c>
      <c r="BF25" s="29" t="str">
        <f aca="false">IF(OR($C25="",$D25=""),"",IF(AND(BF$3&lt;=$D25,BF$3+6&gt;=$C25),IF(AND($D25&gt;=BF$3,$D25&lt;=BF$3+6),2,1),""))</f>
        <v/>
      </c>
    </row>
    <row r="26" customFormat="false" ht="15" hidden="false" customHeight="true" outlineLevel="0" collapsed="false">
      <c r="A26" s="16" t="s">
        <v>199</v>
      </c>
      <c r="B26" s="27" t="str">
        <f aca="false">IFERROR(INDEX(Plan!$C$2:$C$400,MATCH($A26,Plan!$A$2:$A$400,0)),"")</f>
        <v>Guardrails in every repo</v>
      </c>
      <c r="C26" s="28" t="n">
        <f aca="false">IFERROR(INDEX(Plan!$I$2:$I$400,MATCH($A26,Plan!$A$2:$A$400,0)),"")</f>
        <v>46342</v>
      </c>
      <c r="D26" s="28" t="n">
        <f aca="false">IFERROR(INDEX(Plan!$J$2:$J$400,MATCH($A26,Plan!$A$2:$A$400,0)),"")</f>
        <v>46416</v>
      </c>
      <c r="E26" s="29" t="str">
        <f aca="false">IF(OR($C26="",$D26=""),"",IF(AND(E$3&lt;=$D26,E$3+6&gt;=$C26),IF(AND($D26&gt;=E$3,$D26&lt;=E$3+6),2,1),""))</f>
        <v/>
      </c>
      <c r="F26" s="29" t="str">
        <f aca="false">IF(OR($C26="",$D26=""),"",IF(AND(F$3&lt;=$D26,F$3+6&gt;=$C26),IF(AND($D26&gt;=F$3,$D26&lt;=F$3+6),2,1),""))</f>
        <v/>
      </c>
      <c r="G26" s="29" t="str">
        <f aca="false">IF(OR($C26="",$D26=""),"",IF(AND(G$3&lt;=$D26,G$3+6&gt;=$C26),IF(AND($D26&gt;=G$3,$D26&lt;=G$3+6),2,1),""))</f>
        <v/>
      </c>
      <c r="H26" s="29" t="n">
        <f aca="false">IF(OR($C26="",$D26=""),"",IF(AND(H$3&lt;=$D26,H$3+6&gt;=$C26),IF(AND($D26&gt;=H$3,$D26&lt;=H$3+6),2,1),""))</f>
        <v>1</v>
      </c>
      <c r="I26" s="29" t="n">
        <f aca="false">IF(OR($C26="",$D26=""),"",IF(AND(I$3&lt;=$D26,I$3+6&gt;=$C26),IF(AND($D26&gt;=I$3,$D26&lt;=I$3+6),2,1),""))</f>
        <v>1</v>
      </c>
      <c r="J26" s="29" t="n">
        <f aca="false">IF(OR($C26="",$D26=""),"",IF(AND(J$3&lt;=$D26,J$3+6&gt;=$C26),IF(AND($D26&gt;=J$3,$D26&lt;=J$3+6),2,1),""))</f>
        <v>1</v>
      </c>
      <c r="K26" s="29" t="n">
        <f aca="false">IF(OR($C26="",$D26=""),"",IF(AND(K$3&lt;=$D26,K$3+6&gt;=$C26),IF(AND($D26&gt;=K$3,$D26&lt;=K$3+6),2,1),""))</f>
        <v>1</v>
      </c>
      <c r="L26" s="29" t="n">
        <f aca="false">IF(OR($C26="",$D26=""),"",IF(AND(L$3&lt;=$D26,L$3+6&gt;=$C26),IF(AND($D26&gt;=L$3,$D26&lt;=L$3+6),2,1),""))</f>
        <v>1</v>
      </c>
      <c r="M26" s="29" t="n">
        <f aca="false">IF(OR($C26="",$D26=""),"",IF(AND(M$3&lt;=$D26,M$3+6&gt;=$C26),IF(AND($D26&gt;=M$3,$D26&lt;=M$3+6),2,1),""))</f>
        <v>1</v>
      </c>
      <c r="N26" s="29" t="n">
        <f aca="false">IF(OR($C26="",$D26=""),"",IF(AND(N$3&lt;=$D26,N$3+6&gt;=$C26),IF(AND($D26&gt;=N$3,$D26&lt;=N$3+6),2,1),""))</f>
        <v>1</v>
      </c>
      <c r="O26" s="29" t="n">
        <f aca="false">IF(OR($C26="",$D26=""),"",IF(AND(O$3&lt;=$D26,O$3+6&gt;=$C26),IF(AND($D26&gt;=O$3,$D26&lt;=O$3+6),2,1),""))</f>
        <v>1</v>
      </c>
      <c r="P26" s="29" t="n">
        <f aca="false">IF(OR($C26="",$D26=""),"",IF(AND(P$3&lt;=$D26,P$3+6&gt;=$C26),IF(AND($D26&gt;=P$3,$D26&lt;=P$3+6),2,1),""))</f>
        <v>1</v>
      </c>
      <c r="Q26" s="29" t="n">
        <f aca="false">IF(OR($C26="",$D26=""),"",IF(AND(Q$3&lt;=$D26,Q$3+6&gt;=$C26),IF(AND($D26&gt;=Q$3,$D26&lt;=Q$3+6),2,1),""))</f>
        <v>1</v>
      </c>
      <c r="R26" s="29" t="n">
        <f aca="false">IF(OR($C26="",$D26=""),"",IF(AND(R$3&lt;=$D26,R$3+6&gt;=$C26),IF(AND($D26&gt;=R$3,$D26&lt;=R$3+6),2,1),""))</f>
        <v>2</v>
      </c>
      <c r="S26" s="29" t="str">
        <f aca="false">IF(OR($C26="",$D26=""),"",IF(AND(S$3&lt;=$D26,S$3+6&gt;=$C26),IF(AND($D26&gt;=S$3,$D26&lt;=S$3+6),2,1),""))</f>
        <v/>
      </c>
      <c r="T26" s="29" t="str">
        <f aca="false">IF(OR($C26="",$D26=""),"",IF(AND(T$3&lt;=$D26,T$3+6&gt;=$C26),IF(AND($D26&gt;=T$3,$D26&lt;=T$3+6),2,1),""))</f>
        <v/>
      </c>
      <c r="U26" s="29" t="str">
        <f aca="false">IF(OR($C26="",$D26=""),"",IF(AND(U$3&lt;=$D26,U$3+6&gt;=$C26),IF(AND($D26&gt;=U$3,$D26&lt;=U$3+6),2,1),""))</f>
        <v/>
      </c>
      <c r="V26" s="29" t="str">
        <f aca="false">IF(OR($C26="",$D26=""),"",IF(AND(V$3&lt;=$D26,V$3+6&gt;=$C26),IF(AND($D26&gt;=V$3,$D26&lt;=V$3+6),2,1),""))</f>
        <v/>
      </c>
      <c r="W26" s="29" t="str">
        <f aca="false">IF(OR($C26="",$D26=""),"",IF(AND(W$3&lt;=$D26,W$3+6&gt;=$C26),IF(AND($D26&gt;=W$3,$D26&lt;=W$3+6),2,1),""))</f>
        <v/>
      </c>
      <c r="X26" s="29" t="str">
        <f aca="false">IF(OR($C26="",$D26=""),"",IF(AND(X$3&lt;=$D26,X$3+6&gt;=$C26),IF(AND($D26&gt;=X$3,$D26&lt;=X$3+6),2,1),""))</f>
        <v/>
      </c>
      <c r="Y26" s="29" t="str">
        <f aca="false">IF(OR($C26="",$D26=""),"",IF(AND(Y$3&lt;=$D26,Y$3+6&gt;=$C26),IF(AND($D26&gt;=Y$3,$D26&lt;=Y$3+6),2,1),""))</f>
        <v/>
      </c>
      <c r="Z26" s="29" t="str">
        <f aca="false">IF(OR($C26="",$D26=""),"",IF(AND(Z$3&lt;=$D26,Z$3+6&gt;=$C26),IF(AND($D26&gt;=Z$3,$D26&lt;=Z$3+6),2,1),""))</f>
        <v/>
      </c>
      <c r="AA26" s="29" t="str">
        <f aca="false">IF(OR($C26="",$D26=""),"",IF(AND(AA$3&lt;=$D26,AA$3+6&gt;=$C26),IF(AND($D26&gt;=AA$3,$D26&lt;=AA$3+6),2,1),""))</f>
        <v/>
      </c>
      <c r="AB26" s="29" t="str">
        <f aca="false">IF(OR($C26="",$D26=""),"",IF(AND(AB$3&lt;=$D26,AB$3+6&gt;=$C26),IF(AND($D26&gt;=AB$3,$D26&lt;=AB$3+6),2,1),""))</f>
        <v/>
      </c>
      <c r="AC26" s="29" t="str">
        <f aca="false">IF(OR($C26="",$D26=""),"",IF(AND(AC$3&lt;=$D26,AC$3+6&gt;=$C26),IF(AND($D26&gt;=AC$3,$D26&lt;=AC$3+6),2,1),""))</f>
        <v/>
      </c>
      <c r="AD26" s="29" t="str">
        <f aca="false">IF(OR($C26="",$D26=""),"",IF(AND(AD$3&lt;=$D26,AD$3+6&gt;=$C26),IF(AND($D26&gt;=AD$3,$D26&lt;=AD$3+6),2,1),""))</f>
        <v/>
      </c>
      <c r="AE26" s="29" t="str">
        <f aca="false">IF(OR($C26="",$D26=""),"",IF(AND(AE$3&lt;=$D26,AE$3+6&gt;=$C26),IF(AND($D26&gt;=AE$3,$D26&lt;=AE$3+6),2,1),""))</f>
        <v/>
      </c>
      <c r="AF26" s="29" t="str">
        <f aca="false">IF(OR($C26="",$D26=""),"",IF(AND(AF$3&lt;=$D26,AF$3+6&gt;=$C26),IF(AND($D26&gt;=AF$3,$D26&lt;=AF$3+6),2,1),""))</f>
        <v/>
      </c>
      <c r="AG26" s="29" t="str">
        <f aca="false">IF(OR($C26="",$D26=""),"",IF(AND(AG$3&lt;=$D26,AG$3+6&gt;=$C26),IF(AND($D26&gt;=AG$3,$D26&lt;=AG$3+6),2,1),""))</f>
        <v/>
      </c>
      <c r="AH26" s="29" t="str">
        <f aca="false">IF(OR($C26="",$D26=""),"",IF(AND(AH$3&lt;=$D26,AH$3+6&gt;=$C26),IF(AND($D26&gt;=AH$3,$D26&lt;=AH$3+6),2,1),""))</f>
        <v/>
      </c>
      <c r="AI26" s="29" t="str">
        <f aca="false">IF(OR($C26="",$D26=""),"",IF(AND(AI$3&lt;=$D26,AI$3+6&gt;=$C26),IF(AND($D26&gt;=AI$3,$D26&lt;=AI$3+6),2,1),""))</f>
        <v/>
      </c>
      <c r="AJ26" s="29" t="str">
        <f aca="false">IF(OR($C26="",$D26=""),"",IF(AND(AJ$3&lt;=$D26,AJ$3+6&gt;=$C26),IF(AND($D26&gt;=AJ$3,$D26&lt;=AJ$3+6),2,1),""))</f>
        <v/>
      </c>
      <c r="AK26" s="29" t="str">
        <f aca="false">IF(OR($C26="",$D26=""),"",IF(AND(AK$3&lt;=$D26,AK$3+6&gt;=$C26),IF(AND($D26&gt;=AK$3,$D26&lt;=AK$3+6),2,1),""))</f>
        <v/>
      </c>
      <c r="AL26" s="29" t="str">
        <f aca="false">IF(OR($C26="",$D26=""),"",IF(AND(AL$3&lt;=$D26,AL$3+6&gt;=$C26),IF(AND($D26&gt;=AL$3,$D26&lt;=AL$3+6),2,1),""))</f>
        <v/>
      </c>
      <c r="AM26" s="29" t="str">
        <f aca="false">IF(OR($C26="",$D26=""),"",IF(AND(AM$3&lt;=$D26,AM$3+6&gt;=$C26),IF(AND($D26&gt;=AM$3,$D26&lt;=AM$3+6),2,1),""))</f>
        <v/>
      </c>
      <c r="AN26" s="29" t="str">
        <f aca="false">IF(OR($C26="",$D26=""),"",IF(AND(AN$3&lt;=$D26,AN$3+6&gt;=$C26),IF(AND($D26&gt;=AN$3,$D26&lt;=AN$3+6),2,1),""))</f>
        <v/>
      </c>
      <c r="AO26" s="29" t="str">
        <f aca="false">IF(OR($C26="",$D26=""),"",IF(AND(AO$3&lt;=$D26,AO$3+6&gt;=$C26),IF(AND($D26&gt;=AO$3,$D26&lt;=AO$3+6),2,1),""))</f>
        <v/>
      </c>
      <c r="AP26" s="29" t="str">
        <f aca="false">IF(OR($C26="",$D26=""),"",IF(AND(AP$3&lt;=$D26,AP$3+6&gt;=$C26),IF(AND($D26&gt;=AP$3,$D26&lt;=AP$3+6),2,1),""))</f>
        <v/>
      </c>
      <c r="AQ26" s="29" t="str">
        <f aca="false">IF(OR($C26="",$D26=""),"",IF(AND(AQ$3&lt;=$D26,AQ$3+6&gt;=$C26),IF(AND($D26&gt;=AQ$3,$D26&lt;=AQ$3+6),2,1),""))</f>
        <v/>
      </c>
      <c r="AR26" s="29" t="str">
        <f aca="false">IF(OR($C26="",$D26=""),"",IF(AND(AR$3&lt;=$D26,AR$3+6&gt;=$C26),IF(AND($D26&gt;=AR$3,$D26&lt;=AR$3+6),2,1),""))</f>
        <v/>
      </c>
      <c r="AS26" s="29" t="str">
        <f aca="false">IF(OR($C26="",$D26=""),"",IF(AND(AS$3&lt;=$D26,AS$3+6&gt;=$C26),IF(AND($D26&gt;=AS$3,$D26&lt;=AS$3+6),2,1),""))</f>
        <v/>
      </c>
      <c r="AT26" s="29" t="str">
        <f aca="false">IF(OR($C26="",$D26=""),"",IF(AND(AT$3&lt;=$D26,AT$3+6&gt;=$C26),IF(AND($D26&gt;=AT$3,$D26&lt;=AT$3+6),2,1),""))</f>
        <v/>
      </c>
      <c r="AU26" s="29" t="str">
        <f aca="false">IF(OR($C26="",$D26=""),"",IF(AND(AU$3&lt;=$D26,AU$3+6&gt;=$C26),IF(AND($D26&gt;=AU$3,$D26&lt;=AU$3+6),2,1),""))</f>
        <v/>
      </c>
      <c r="AV26" s="29" t="str">
        <f aca="false">IF(OR($C26="",$D26=""),"",IF(AND(AV$3&lt;=$D26,AV$3+6&gt;=$C26),IF(AND($D26&gt;=AV$3,$D26&lt;=AV$3+6),2,1),""))</f>
        <v/>
      </c>
      <c r="AW26" s="29" t="str">
        <f aca="false">IF(OR($C26="",$D26=""),"",IF(AND(AW$3&lt;=$D26,AW$3+6&gt;=$C26),IF(AND($D26&gt;=AW$3,$D26&lt;=AW$3+6),2,1),""))</f>
        <v/>
      </c>
      <c r="AX26" s="29" t="str">
        <f aca="false">IF(OR($C26="",$D26=""),"",IF(AND(AX$3&lt;=$D26,AX$3+6&gt;=$C26),IF(AND($D26&gt;=AX$3,$D26&lt;=AX$3+6),2,1),""))</f>
        <v/>
      </c>
      <c r="AY26" s="29" t="str">
        <f aca="false">IF(OR($C26="",$D26=""),"",IF(AND(AY$3&lt;=$D26,AY$3+6&gt;=$C26),IF(AND($D26&gt;=AY$3,$D26&lt;=AY$3+6),2,1),""))</f>
        <v/>
      </c>
      <c r="AZ26" s="29" t="str">
        <f aca="false">IF(OR($C26="",$D26=""),"",IF(AND(AZ$3&lt;=$D26,AZ$3+6&gt;=$C26),IF(AND($D26&gt;=AZ$3,$D26&lt;=AZ$3+6),2,1),""))</f>
        <v/>
      </c>
      <c r="BA26" s="29" t="str">
        <f aca="false">IF(OR($C26="",$D26=""),"",IF(AND(BA$3&lt;=$D26,BA$3+6&gt;=$C26),IF(AND($D26&gt;=BA$3,$D26&lt;=BA$3+6),2,1),""))</f>
        <v/>
      </c>
      <c r="BB26" s="29" t="str">
        <f aca="false">IF(OR($C26="",$D26=""),"",IF(AND(BB$3&lt;=$D26,BB$3+6&gt;=$C26),IF(AND($D26&gt;=BB$3,$D26&lt;=BB$3+6),2,1),""))</f>
        <v/>
      </c>
      <c r="BC26" s="29" t="str">
        <f aca="false">IF(OR($C26="",$D26=""),"",IF(AND(BC$3&lt;=$D26,BC$3+6&gt;=$C26),IF(AND($D26&gt;=BC$3,$D26&lt;=BC$3+6),2,1),""))</f>
        <v/>
      </c>
      <c r="BD26" s="29" t="str">
        <f aca="false">IF(OR($C26="",$D26=""),"",IF(AND(BD$3&lt;=$D26,BD$3+6&gt;=$C26),IF(AND($D26&gt;=BD$3,$D26&lt;=BD$3+6),2,1),""))</f>
        <v/>
      </c>
      <c r="BE26" s="29" t="str">
        <f aca="false">IF(OR($C26="",$D26=""),"",IF(AND(BE$3&lt;=$D26,BE$3+6&gt;=$C26),IF(AND($D26&gt;=BE$3,$D26&lt;=BE$3+6),2,1),""))</f>
        <v/>
      </c>
      <c r="BF26" s="29" t="str">
        <f aca="false">IF(OR($C26="",$D26=""),"",IF(AND(BF$3&lt;=$D26,BF$3+6&gt;=$C26),IF(AND($D26&gt;=BF$3,$D26&lt;=BF$3+6),2,1),""))</f>
        <v/>
      </c>
    </row>
    <row r="27" customFormat="false" ht="15" hidden="false" customHeight="true" outlineLevel="0" collapsed="false">
      <c r="A27" s="16" t="s">
        <v>205</v>
      </c>
      <c r="B27" s="27" t="str">
        <f aca="false">IFERROR(INDEX(Plan!$C$2:$C$400,MATCH($A27,Plan!$A$2:$A$400,0)),"")</f>
        <v>Policy packs v1</v>
      </c>
      <c r="C27" s="28" t="n">
        <f aca="false">IFERROR(INDEX(Plan!$I$2:$I$400,MATCH($A27,Plan!$A$2:$A$400,0)),"")</f>
        <v>46342</v>
      </c>
      <c r="D27" s="28" t="n">
        <f aca="false">IFERROR(INDEX(Plan!$J$2:$J$400,MATCH($A27,Plan!$A$2:$A$400,0)),"")</f>
        <v>46367</v>
      </c>
      <c r="E27" s="29" t="str">
        <f aca="false">IF(OR($C27="",$D27=""),"",IF(AND(E$3&lt;=$D27,E$3+6&gt;=$C27),IF(AND($D27&gt;=E$3,$D27&lt;=E$3+6),2,1),""))</f>
        <v/>
      </c>
      <c r="F27" s="29" t="str">
        <f aca="false">IF(OR($C27="",$D27=""),"",IF(AND(F$3&lt;=$D27,F$3+6&gt;=$C27),IF(AND($D27&gt;=F$3,$D27&lt;=F$3+6),2,1),""))</f>
        <v/>
      </c>
      <c r="G27" s="29" t="str">
        <f aca="false">IF(OR($C27="",$D27=""),"",IF(AND(G$3&lt;=$D27,G$3+6&gt;=$C27),IF(AND($D27&gt;=G$3,$D27&lt;=G$3+6),2,1),""))</f>
        <v/>
      </c>
      <c r="H27" s="29" t="n">
        <f aca="false">IF(OR($C27="",$D27=""),"",IF(AND(H$3&lt;=$D27,H$3+6&gt;=$C27),IF(AND($D27&gt;=H$3,$D27&lt;=H$3+6),2,1),""))</f>
        <v>1</v>
      </c>
      <c r="I27" s="29" t="n">
        <f aca="false">IF(OR($C27="",$D27=""),"",IF(AND(I$3&lt;=$D27,I$3+6&gt;=$C27),IF(AND($D27&gt;=I$3,$D27&lt;=I$3+6),2,1),""))</f>
        <v>1</v>
      </c>
      <c r="J27" s="29" t="n">
        <f aca="false">IF(OR($C27="",$D27=""),"",IF(AND(J$3&lt;=$D27,J$3+6&gt;=$C27),IF(AND($D27&gt;=J$3,$D27&lt;=J$3+6),2,1),""))</f>
        <v>1</v>
      </c>
      <c r="K27" s="29" t="n">
        <f aca="false">IF(OR($C27="",$D27=""),"",IF(AND(K$3&lt;=$D27,K$3+6&gt;=$C27),IF(AND($D27&gt;=K$3,$D27&lt;=K$3+6),2,1),""))</f>
        <v>2</v>
      </c>
      <c r="L27" s="29" t="str">
        <f aca="false">IF(OR($C27="",$D27=""),"",IF(AND(L$3&lt;=$D27,L$3+6&gt;=$C27),IF(AND($D27&gt;=L$3,$D27&lt;=L$3+6),2,1),""))</f>
        <v/>
      </c>
      <c r="M27" s="29" t="str">
        <f aca="false">IF(OR($C27="",$D27=""),"",IF(AND(M$3&lt;=$D27,M$3+6&gt;=$C27),IF(AND($D27&gt;=M$3,$D27&lt;=M$3+6),2,1),""))</f>
        <v/>
      </c>
      <c r="N27" s="29" t="str">
        <f aca="false">IF(OR($C27="",$D27=""),"",IF(AND(N$3&lt;=$D27,N$3+6&gt;=$C27),IF(AND($D27&gt;=N$3,$D27&lt;=N$3+6),2,1),""))</f>
        <v/>
      </c>
      <c r="O27" s="29" t="str">
        <f aca="false">IF(OR($C27="",$D27=""),"",IF(AND(O$3&lt;=$D27,O$3+6&gt;=$C27),IF(AND($D27&gt;=O$3,$D27&lt;=O$3+6),2,1),""))</f>
        <v/>
      </c>
      <c r="P27" s="29" t="str">
        <f aca="false">IF(OR($C27="",$D27=""),"",IF(AND(P$3&lt;=$D27,P$3+6&gt;=$C27),IF(AND($D27&gt;=P$3,$D27&lt;=P$3+6),2,1),""))</f>
        <v/>
      </c>
      <c r="Q27" s="29" t="str">
        <f aca="false">IF(OR($C27="",$D27=""),"",IF(AND(Q$3&lt;=$D27,Q$3+6&gt;=$C27),IF(AND($D27&gt;=Q$3,$D27&lt;=Q$3+6),2,1),""))</f>
        <v/>
      </c>
      <c r="R27" s="29" t="str">
        <f aca="false">IF(OR($C27="",$D27=""),"",IF(AND(R$3&lt;=$D27,R$3+6&gt;=$C27),IF(AND($D27&gt;=R$3,$D27&lt;=R$3+6),2,1),""))</f>
        <v/>
      </c>
      <c r="S27" s="29" t="str">
        <f aca="false">IF(OR($C27="",$D27=""),"",IF(AND(S$3&lt;=$D27,S$3+6&gt;=$C27),IF(AND($D27&gt;=S$3,$D27&lt;=S$3+6),2,1),""))</f>
        <v/>
      </c>
      <c r="T27" s="29" t="str">
        <f aca="false">IF(OR($C27="",$D27=""),"",IF(AND(T$3&lt;=$D27,T$3+6&gt;=$C27),IF(AND($D27&gt;=T$3,$D27&lt;=T$3+6),2,1),""))</f>
        <v/>
      </c>
      <c r="U27" s="29" t="str">
        <f aca="false">IF(OR($C27="",$D27=""),"",IF(AND(U$3&lt;=$D27,U$3+6&gt;=$C27),IF(AND($D27&gt;=U$3,$D27&lt;=U$3+6),2,1),""))</f>
        <v/>
      </c>
      <c r="V27" s="29" t="str">
        <f aca="false">IF(OR($C27="",$D27=""),"",IF(AND(V$3&lt;=$D27,V$3+6&gt;=$C27),IF(AND($D27&gt;=V$3,$D27&lt;=V$3+6),2,1),""))</f>
        <v/>
      </c>
      <c r="W27" s="29" t="str">
        <f aca="false">IF(OR($C27="",$D27=""),"",IF(AND(W$3&lt;=$D27,W$3+6&gt;=$C27),IF(AND($D27&gt;=W$3,$D27&lt;=W$3+6),2,1),""))</f>
        <v/>
      </c>
      <c r="X27" s="29" t="str">
        <f aca="false">IF(OR($C27="",$D27=""),"",IF(AND(X$3&lt;=$D27,X$3+6&gt;=$C27),IF(AND($D27&gt;=X$3,$D27&lt;=X$3+6),2,1),""))</f>
        <v/>
      </c>
      <c r="Y27" s="29" t="str">
        <f aca="false">IF(OR($C27="",$D27=""),"",IF(AND(Y$3&lt;=$D27,Y$3+6&gt;=$C27),IF(AND($D27&gt;=Y$3,$D27&lt;=Y$3+6),2,1),""))</f>
        <v/>
      </c>
      <c r="Z27" s="29" t="str">
        <f aca="false">IF(OR($C27="",$D27=""),"",IF(AND(Z$3&lt;=$D27,Z$3+6&gt;=$C27),IF(AND($D27&gt;=Z$3,$D27&lt;=Z$3+6),2,1),""))</f>
        <v/>
      </c>
      <c r="AA27" s="29" t="str">
        <f aca="false">IF(OR($C27="",$D27=""),"",IF(AND(AA$3&lt;=$D27,AA$3+6&gt;=$C27),IF(AND($D27&gt;=AA$3,$D27&lt;=AA$3+6),2,1),""))</f>
        <v/>
      </c>
      <c r="AB27" s="29" t="str">
        <f aca="false">IF(OR($C27="",$D27=""),"",IF(AND(AB$3&lt;=$D27,AB$3+6&gt;=$C27),IF(AND($D27&gt;=AB$3,$D27&lt;=AB$3+6),2,1),""))</f>
        <v/>
      </c>
      <c r="AC27" s="29" t="str">
        <f aca="false">IF(OR($C27="",$D27=""),"",IF(AND(AC$3&lt;=$D27,AC$3+6&gt;=$C27),IF(AND($D27&gt;=AC$3,$D27&lt;=AC$3+6),2,1),""))</f>
        <v/>
      </c>
      <c r="AD27" s="29" t="str">
        <f aca="false">IF(OR($C27="",$D27=""),"",IF(AND(AD$3&lt;=$D27,AD$3+6&gt;=$C27),IF(AND($D27&gt;=AD$3,$D27&lt;=AD$3+6),2,1),""))</f>
        <v/>
      </c>
      <c r="AE27" s="29" t="str">
        <f aca="false">IF(OR($C27="",$D27=""),"",IF(AND(AE$3&lt;=$D27,AE$3+6&gt;=$C27),IF(AND($D27&gt;=AE$3,$D27&lt;=AE$3+6),2,1),""))</f>
        <v/>
      </c>
      <c r="AF27" s="29" t="str">
        <f aca="false">IF(OR($C27="",$D27=""),"",IF(AND(AF$3&lt;=$D27,AF$3+6&gt;=$C27),IF(AND($D27&gt;=AF$3,$D27&lt;=AF$3+6),2,1),""))</f>
        <v/>
      </c>
      <c r="AG27" s="29" t="str">
        <f aca="false">IF(OR($C27="",$D27=""),"",IF(AND(AG$3&lt;=$D27,AG$3+6&gt;=$C27),IF(AND($D27&gt;=AG$3,$D27&lt;=AG$3+6),2,1),""))</f>
        <v/>
      </c>
      <c r="AH27" s="29" t="str">
        <f aca="false">IF(OR($C27="",$D27=""),"",IF(AND(AH$3&lt;=$D27,AH$3+6&gt;=$C27),IF(AND($D27&gt;=AH$3,$D27&lt;=AH$3+6),2,1),""))</f>
        <v/>
      </c>
      <c r="AI27" s="29" t="str">
        <f aca="false">IF(OR($C27="",$D27=""),"",IF(AND(AI$3&lt;=$D27,AI$3+6&gt;=$C27),IF(AND($D27&gt;=AI$3,$D27&lt;=AI$3+6),2,1),""))</f>
        <v/>
      </c>
      <c r="AJ27" s="29" t="str">
        <f aca="false">IF(OR($C27="",$D27=""),"",IF(AND(AJ$3&lt;=$D27,AJ$3+6&gt;=$C27),IF(AND($D27&gt;=AJ$3,$D27&lt;=AJ$3+6),2,1),""))</f>
        <v/>
      </c>
      <c r="AK27" s="29" t="str">
        <f aca="false">IF(OR($C27="",$D27=""),"",IF(AND(AK$3&lt;=$D27,AK$3+6&gt;=$C27),IF(AND($D27&gt;=AK$3,$D27&lt;=AK$3+6),2,1),""))</f>
        <v/>
      </c>
      <c r="AL27" s="29" t="str">
        <f aca="false">IF(OR($C27="",$D27=""),"",IF(AND(AL$3&lt;=$D27,AL$3+6&gt;=$C27),IF(AND($D27&gt;=AL$3,$D27&lt;=AL$3+6),2,1),""))</f>
        <v/>
      </c>
      <c r="AM27" s="29" t="str">
        <f aca="false">IF(OR($C27="",$D27=""),"",IF(AND(AM$3&lt;=$D27,AM$3+6&gt;=$C27),IF(AND($D27&gt;=AM$3,$D27&lt;=AM$3+6),2,1),""))</f>
        <v/>
      </c>
      <c r="AN27" s="29" t="str">
        <f aca="false">IF(OR($C27="",$D27=""),"",IF(AND(AN$3&lt;=$D27,AN$3+6&gt;=$C27),IF(AND($D27&gt;=AN$3,$D27&lt;=AN$3+6),2,1),""))</f>
        <v/>
      </c>
      <c r="AO27" s="29" t="str">
        <f aca="false">IF(OR($C27="",$D27=""),"",IF(AND(AO$3&lt;=$D27,AO$3+6&gt;=$C27),IF(AND($D27&gt;=AO$3,$D27&lt;=AO$3+6),2,1),""))</f>
        <v/>
      </c>
      <c r="AP27" s="29" t="str">
        <f aca="false">IF(OR($C27="",$D27=""),"",IF(AND(AP$3&lt;=$D27,AP$3+6&gt;=$C27),IF(AND($D27&gt;=AP$3,$D27&lt;=AP$3+6),2,1),""))</f>
        <v/>
      </c>
      <c r="AQ27" s="29" t="str">
        <f aca="false">IF(OR($C27="",$D27=""),"",IF(AND(AQ$3&lt;=$D27,AQ$3+6&gt;=$C27),IF(AND($D27&gt;=AQ$3,$D27&lt;=AQ$3+6),2,1),""))</f>
        <v/>
      </c>
      <c r="AR27" s="29" t="str">
        <f aca="false">IF(OR($C27="",$D27=""),"",IF(AND(AR$3&lt;=$D27,AR$3+6&gt;=$C27),IF(AND($D27&gt;=AR$3,$D27&lt;=AR$3+6),2,1),""))</f>
        <v/>
      </c>
      <c r="AS27" s="29" t="str">
        <f aca="false">IF(OR($C27="",$D27=""),"",IF(AND(AS$3&lt;=$D27,AS$3+6&gt;=$C27),IF(AND($D27&gt;=AS$3,$D27&lt;=AS$3+6),2,1),""))</f>
        <v/>
      </c>
      <c r="AT27" s="29" t="str">
        <f aca="false">IF(OR($C27="",$D27=""),"",IF(AND(AT$3&lt;=$D27,AT$3+6&gt;=$C27),IF(AND($D27&gt;=AT$3,$D27&lt;=AT$3+6),2,1),""))</f>
        <v/>
      </c>
      <c r="AU27" s="29" t="str">
        <f aca="false">IF(OR($C27="",$D27=""),"",IF(AND(AU$3&lt;=$D27,AU$3+6&gt;=$C27),IF(AND($D27&gt;=AU$3,$D27&lt;=AU$3+6),2,1),""))</f>
        <v/>
      </c>
      <c r="AV27" s="29" t="str">
        <f aca="false">IF(OR($C27="",$D27=""),"",IF(AND(AV$3&lt;=$D27,AV$3+6&gt;=$C27),IF(AND($D27&gt;=AV$3,$D27&lt;=AV$3+6),2,1),""))</f>
        <v/>
      </c>
      <c r="AW27" s="29" t="str">
        <f aca="false">IF(OR($C27="",$D27=""),"",IF(AND(AW$3&lt;=$D27,AW$3+6&gt;=$C27),IF(AND($D27&gt;=AW$3,$D27&lt;=AW$3+6),2,1),""))</f>
        <v/>
      </c>
      <c r="AX27" s="29" t="str">
        <f aca="false">IF(OR($C27="",$D27=""),"",IF(AND(AX$3&lt;=$D27,AX$3+6&gt;=$C27),IF(AND($D27&gt;=AX$3,$D27&lt;=AX$3+6),2,1),""))</f>
        <v/>
      </c>
      <c r="AY27" s="29" t="str">
        <f aca="false">IF(OR($C27="",$D27=""),"",IF(AND(AY$3&lt;=$D27,AY$3+6&gt;=$C27),IF(AND($D27&gt;=AY$3,$D27&lt;=AY$3+6),2,1),""))</f>
        <v/>
      </c>
      <c r="AZ27" s="29" t="str">
        <f aca="false">IF(OR($C27="",$D27=""),"",IF(AND(AZ$3&lt;=$D27,AZ$3+6&gt;=$C27),IF(AND($D27&gt;=AZ$3,$D27&lt;=AZ$3+6),2,1),""))</f>
        <v/>
      </c>
      <c r="BA27" s="29" t="str">
        <f aca="false">IF(OR($C27="",$D27=""),"",IF(AND(BA$3&lt;=$D27,BA$3+6&gt;=$C27),IF(AND($D27&gt;=BA$3,$D27&lt;=BA$3+6),2,1),""))</f>
        <v/>
      </c>
      <c r="BB27" s="29" t="str">
        <f aca="false">IF(OR($C27="",$D27=""),"",IF(AND(BB$3&lt;=$D27,BB$3+6&gt;=$C27),IF(AND($D27&gt;=BB$3,$D27&lt;=BB$3+6),2,1),""))</f>
        <v/>
      </c>
      <c r="BC27" s="29" t="str">
        <f aca="false">IF(OR($C27="",$D27=""),"",IF(AND(BC$3&lt;=$D27,BC$3+6&gt;=$C27),IF(AND($D27&gt;=BC$3,$D27&lt;=BC$3+6),2,1),""))</f>
        <v/>
      </c>
      <c r="BD27" s="29" t="str">
        <f aca="false">IF(OR($C27="",$D27=""),"",IF(AND(BD$3&lt;=$D27,BD$3+6&gt;=$C27),IF(AND($D27&gt;=BD$3,$D27&lt;=BD$3+6),2,1),""))</f>
        <v/>
      </c>
      <c r="BE27" s="29" t="str">
        <f aca="false">IF(OR($C27="",$D27=""),"",IF(AND(BE$3&lt;=$D27,BE$3+6&gt;=$C27),IF(AND($D27&gt;=BE$3,$D27&lt;=BE$3+6),2,1),""))</f>
        <v/>
      </c>
      <c r="BF27" s="29" t="str">
        <f aca="false">IF(OR($C27="",$D27=""),"",IF(AND(BF$3&lt;=$D27,BF$3+6&gt;=$C27),IF(AND($D27&gt;=BF$3,$D27&lt;=BF$3+6),2,1),""))</f>
        <v/>
      </c>
    </row>
    <row r="28" customFormat="false" ht="15" hidden="false" customHeight="true" outlineLevel="0" collapsed="false">
      <c r="A28" s="16" t="s">
        <v>212</v>
      </c>
      <c r="B28" s="27" t="str">
        <f aca="false">IFERROR(INDEX(Plan!$C$2:$C$400,MATCH($A28,Plan!$A$2:$A$400,0)),"")</f>
        <v>Required quality gates on every repo</v>
      </c>
      <c r="C28" s="28" t="n">
        <f aca="false">IFERROR(INDEX(Plan!$I$2:$I$400,MATCH($A28,Plan!$A$2:$A$400,0)),"")</f>
        <v>46391</v>
      </c>
      <c r="D28" s="28" t="n">
        <f aca="false">IFERROR(INDEX(Plan!$J$2:$J$400,MATCH($A28,Plan!$A$2:$A$400,0)),"")</f>
        <v>46444</v>
      </c>
      <c r="E28" s="29" t="str">
        <f aca="false">IF(OR($C28="",$D28=""),"",IF(AND(E$3&lt;=$D28,E$3+6&gt;=$C28),IF(AND($D28&gt;=E$3,$D28&lt;=E$3+6),2,1),""))</f>
        <v/>
      </c>
      <c r="F28" s="29" t="str">
        <f aca="false">IF(OR($C28="",$D28=""),"",IF(AND(F$3&lt;=$D28,F$3+6&gt;=$C28),IF(AND($D28&gt;=F$3,$D28&lt;=F$3+6),2,1),""))</f>
        <v/>
      </c>
      <c r="G28" s="29" t="str">
        <f aca="false">IF(OR($C28="",$D28=""),"",IF(AND(G$3&lt;=$D28,G$3+6&gt;=$C28),IF(AND($D28&gt;=G$3,$D28&lt;=G$3+6),2,1),""))</f>
        <v/>
      </c>
      <c r="H28" s="29" t="str">
        <f aca="false">IF(OR($C28="",$D28=""),"",IF(AND(H$3&lt;=$D28,H$3+6&gt;=$C28),IF(AND($D28&gt;=H$3,$D28&lt;=H$3+6),2,1),""))</f>
        <v/>
      </c>
      <c r="I28" s="29" t="str">
        <f aca="false">IF(OR($C28="",$D28=""),"",IF(AND(I$3&lt;=$D28,I$3+6&gt;=$C28),IF(AND($D28&gt;=I$3,$D28&lt;=I$3+6),2,1),""))</f>
        <v/>
      </c>
      <c r="J28" s="29" t="str">
        <f aca="false">IF(OR($C28="",$D28=""),"",IF(AND(J$3&lt;=$D28,J$3+6&gt;=$C28),IF(AND($D28&gt;=J$3,$D28&lt;=J$3+6),2,1),""))</f>
        <v/>
      </c>
      <c r="K28" s="29" t="str">
        <f aca="false">IF(OR($C28="",$D28=""),"",IF(AND(K$3&lt;=$D28,K$3+6&gt;=$C28),IF(AND($D28&gt;=K$3,$D28&lt;=K$3+6),2,1),""))</f>
        <v/>
      </c>
      <c r="L28" s="29" t="str">
        <f aca="false">IF(OR($C28="",$D28=""),"",IF(AND(L$3&lt;=$D28,L$3+6&gt;=$C28),IF(AND($D28&gt;=L$3,$D28&lt;=L$3+6),2,1),""))</f>
        <v/>
      </c>
      <c r="M28" s="29" t="str">
        <f aca="false">IF(OR($C28="",$D28=""),"",IF(AND(M$3&lt;=$D28,M$3+6&gt;=$C28),IF(AND($D28&gt;=M$3,$D28&lt;=M$3+6),2,1),""))</f>
        <v/>
      </c>
      <c r="N28" s="29" t="str">
        <f aca="false">IF(OR($C28="",$D28=""),"",IF(AND(N$3&lt;=$D28,N$3+6&gt;=$C28),IF(AND($D28&gt;=N$3,$D28&lt;=N$3+6),2,1),""))</f>
        <v/>
      </c>
      <c r="O28" s="29" t="n">
        <f aca="false">IF(OR($C28="",$D28=""),"",IF(AND(O$3&lt;=$D28,O$3+6&gt;=$C28),IF(AND($D28&gt;=O$3,$D28&lt;=O$3+6),2,1),""))</f>
        <v>1</v>
      </c>
      <c r="P28" s="29" t="n">
        <f aca="false">IF(OR($C28="",$D28=""),"",IF(AND(P$3&lt;=$D28,P$3+6&gt;=$C28),IF(AND($D28&gt;=P$3,$D28&lt;=P$3+6),2,1),""))</f>
        <v>1</v>
      </c>
      <c r="Q28" s="29" t="n">
        <f aca="false">IF(OR($C28="",$D28=""),"",IF(AND(Q$3&lt;=$D28,Q$3+6&gt;=$C28),IF(AND($D28&gt;=Q$3,$D28&lt;=Q$3+6),2,1),""))</f>
        <v>1</v>
      </c>
      <c r="R28" s="29" t="n">
        <f aca="false">IF(OR($C28="",$D28=""),"",IF(AND(R$3&lt;=$D28,R$3+6&gt;=$C28),IF(AND($D28&gt;=R$3,$D28&lt;=R$3+6),2,1),""))</f>
        <v>1</v>
      </c>
      <c r="S28" s="29" t="n">
        <f aca="false">IF(OR($C28="",$D28=""),"",IF(AND(S$3&lt;=$D28,S$3+6&gt;=$C28),IF(AND($D28&gt;=S$3,$D28&lt;=S$3+6),2,1),""))</f>
        <v>1</v>
      </c>
      <c r="T28" s="29" t="n">
        <f aca="false">IF(OR($C28="",$D28=""),"",IF(AND(T$3&lt;=$D28,T$3+6&gt;=$C28),IF(AND($D28&gt;=T$3,$D28&lt;=T$3+6),2,1),""))</f>
        <v>1</v>
      </c>
      <c r="U28" s="29" t="n">
        <f aca="false">IF(OR($C28="",$D28=""),"",IF(AND(U$3&lt;=$D28,U$3+6&gt;=$C28),IF(AND($D28&gt;=U$3,$D28&lt;=U$3+6),2,1),""))</f>
        <v>1</v>
      </c>
      <c r="V28" s="29" t="n">
        <f aca="false">IF(OR($C28="",$D28=""),"",IF(AND(V$3&lt;=$D28,V$3+6&gt;=$C28),IF(AND($D28&gt;=V$3,$D28&lt;=V$3+6),2,1),""))</f>
        <v>2</v>
      </c>
      <c r="W28" s="29" t="str">
        <f aca="false">IF(OR($C28="",$D28=""),"",IF(AND(W$3&lt;=$D28,W$3+6&gt;=$C28),IF(AND($D28&gt;=W$3,$D28&lt;=W$3+6),2,1),""))</f>
        <v/>
      </c>
      <c r="X28" s="29" t="str">
        <f aca="false">IF(OR($C28="",$D28=""),"",IF(AND(X$3&lt;=$D28,X$3+6&gt;=$C28),IF(AND($D28&gt;=X$3,$D28&lt;=X$3+6),2,1),""))</f>
        <v/>
      </c>
      <c r="Y28" s="29" t="str">
        <f aca="false">IF(OR($C28="",$D28=""),"",IF(AND(Y$3&lt;=$D28,Y$3+6&gt;=$C28),IF(AND($D28&gt;=Y$3,$D28&lt;=Y$3+6),2,1),""))</f>
        <v/>
      </c>
      <c r="Z28" s="29" t="str">
        <f aca="false">IF(OR($C28="",$D28=""),"",IF(AND(Z$3&lt;=$D28,Z$3+6&gt;=$C28),IF(AND($D28&gt;=Z$3,$D28&lt;=Z$3+6),2,1),""))</f>
        <v/>
      </c>
      <c r="AA28" s="29" t="str">
        <f aca="false">IF(OR($C28="",$D28=""),"",IF(AND(AA$3&lt;=$D28,AA$3+6&gt;=$C28),IF(AND($D28&gt;=AA$3,$D28&lt;=AA$3+6),2,1),""))</f>
        <v/>
      </c>
      <c r="AB28" s="29" t="str">
        <f aca="false">IF(OR($C28="",$D28=""),"",IF(AND(AB$3&lt;=$D28,AB$3+6&gt;=$C28),IF(AND($D28&gt;=AB$3,$D28&lt;=AB$3+6),2,1),""))</f>
        <v/>
      </c>
      <c r="AC28" s="29" t="str">
        <f aca="false">IF(OR($C28="",$D28=""),"",IF(AND(AC$3&lt;=$D28,AC$3+6&gt;=$C28),IF(AND($D28&gt;=AC$3,$D28&lt;=AC$3+6),2,1),""))</f>
        <v/>
      </c>
      <c r="AD28" s="29" t="str">
        <f aca="false">IF(OR($C28="",$D28=""),"",IF(AND(AD$3&lt;=$D28,AD$3+6&gt;=$C28),IF(AND($D28&gt;=AD$3,$D28&lt;=AD$3+6),2,1),""))</f>
        <v/>
      </c>
      <c r="AE28" s="29" t="str">
        <f aca="false">IF(OR($C28="",$D28=""),"",IF(AND(AE$3&lt;=$D28,AE$3+6&gt;=$C28),IF(AND($D28&gt;=AE$3,$D28&lt;=AE$3+6),2,1),""))</f>
        <v/>
      </c>
      <c r="AF28" s="29" t="str">
        <f aca="false">IF(OR($C28="",$D28=""),"",IF(AND(AF$3&lt;=$D28,AF$3+6&gt;=$C28),IF(AND($D28&gt;=AF$3,$D28&lt;=AF$3+6),2,1),""))</f>
        <v/>
      </c>
      <c r="AG28" s="29" t="str">
        <f aca="false">IF(OR($C28="",$D28=""),"",IF(AND(AG$3&lt;=$D28,AG$3+6&gt;=$C28),IF(AND($D28&gt;=AG$3,$D28&lt;=AG$3+6),2,1),""))</f>
        <v/>
      </c>
      <c r="AH28" s="29" t="str">
        <f aca="false">IF(OR($C28="",$D28=""),"",IF(AND(AH$3&lt;=$D28,AH$3+6&gt;=$C28),IF(AND($D28&gt;=AH$3,$D28&lt;=AH$3+6),2,1),""))</f>
        <v/>
      </c>
      <c r="AI28" s="29" t="str">
        <f aca="false">IF(OR($C28="",$D28=""),"",IF(AND(AI$3&lt;=$D28,AI$3+6&gt;=$C28),IF(AND($D28&gt;=AI$3,$D28&lt;=AI$3+6),2,1),""))</f>
        <v/>
      </c>
      <c r="AJ28" s="29" t="str">
        <f aca="false">IF(OR($C28="",$D28=""),"",IF(AND(AJ$3&lt;=$D28,AJ$3+6&gt;=$C28),IF(AND($D28&gt;=AJ$3,$D28&lt;=AJ$3+6),2,1),""))</f>
        <v/>
      </c>
      <c r="AK28" s="29" t="str">
        <f aca="false">IF(OR($C28="",$D28=""),"",IF(AND(AK$3&lt;=$D28,AK$3+6&gt;=$C28),IF(AND($D28&gt;=AK$3,$D28&lt;=AK$3+6),2,1),""))</f>
        <v/>
      </c>
      <c r="AL28" s="29" t="str">
        <f aca="false">IF(OR($C28="",$D28=""),"",IF(AND(AL$3&lt;=$D28,AL$3+6&gt;=$C28),IF(AND($D28&gt;=AL$3,$D28&lt;=AL$3+6),2,1),""))</f>
        <v/>
      </c>
      <c r="AM28" s="29" t="str">
        <f aca="false">IF(OR($C28="",$D28=""),"",IF(AND(AM$3&lt;=$D28,AM$3+6&gt;=$C28),IF(AND($D28&gt;=AM$3,$D28&lt;=AM$3+6),2,1),""))</f>
        <v/>
      </c>
      <c r="AN28" s="29" t="str">
        <f aca="false">IF(OR($C28="",$D28=""),"",IF(AND(AN$3&lt;=$D28,AN$3+6&gt;=$C28),IF(AND($D28&gt;=AN$3,$D28&lt;=AN$3+6),2,1),""))</f>
        <v/>
      </c>
      <c r="AO28" s="29" t="str">
        <f aca="false">IF(OR($C28="",$D28=""),"",IF(AND(AO$3&lt;=$D28,AO$3+6&gt;=$C28),IF(AND($D28&gt;=AO$3,$D28&lt;=AO$3+6),2,1),""))</f>
        <v/>
      </c>
      <c r="AP28" s="29" t="str">
        <f aca="false">IF(OR($C28="",$D28=""),"",IF(AND(AP$3&lt;=$D28,AP$3+6&gt;=$C28),IF(AND($D28&gt;=AP$3,$D28&lt;=AP$3+6),2,1),""))</f>
        <v/>
      </c>
      <c r="AQ28" s="29" t="str">
        <f aca="false">IF(OR($C28="",$D28=""),"",IF(AND(AQ$3&lt;=$D28,AQ$3+6&gt;=$C28),IF(AND($D28&gt;=AQ$3,$D28&lt;=AQ$3+6),2,1),""))</f>
        <v/>
      </c>
      <c r="AR28" s="29" t="str">
        <f aca="false">IF(OR($C28="",$D28=""),"",IF(AND(AR$3&lt;=$D28,AR$3+6&gt;=$C28),IF(AND($D28&gt;=AR$3,$D28&lt;=AR$3+6),2,1),""))</f>
        <v/>
      </c>
      <c r="AS28" s="29" t="str">
        <f aca="false">IF(OR($C28="",$D28=""),"",IF(AND(AS$3&lt;=$D28,AS$3+6&gt;=$C28),IF(AND($D28&gt;=AS$3,$D28&lt;=AS$3+6),2,1),""))</f>
        <v/>
      </c>
      <c r="AT28" s="29" t="str">
        <f aca="false">IF(OR($C28="",$D28=""),"",IF(AND(AT$3&lt;=$D28,AT$3+6&gt;=$C28),IF(AND($D28&gt;=AT$3,$D28&lt;=AT$3+6),2,1),""))</f>
        <v/>
      </c>
      <c r="AU28" s="29" t="str">
        <f aca="false">IF(OR($C28="",$D28=""),"",IF(AND(AU$3&lt;=$D28,AU$3+6&gt;=$C28),IF(AND($D28&gt;=AU$3,$D28&lt;=AU$3+6),2,1),""))</f>
        <v/>
      </c>
      <c r="AV28" s="29" t="str">
        <f aca="false">IF(OR($C28="",$D28=""),"",IF(AND(AV$3&lt;=$D28,AV$3+6&gt;=$C28),IF(AND($D28&gt;=AV$3,$D28&lt;=AV$3+6),2,1),""))</f>
        <v/>
      </c>
      <c r="AW28" s="29" t="str">
        <f aca="false">IF(OR($C28="",$D28=""),"",IF(AND(AW$3&lt;=$D28,AW$3+6&gt;=$C28),IF(AND($D28&gt;=AW$3,$D28&lt;=AW$3+6),2,1),""))</f>
        <v/>
      </c>
      <c r="AX28" s="29" t="str">
        <f aca="false">IF(OR($C28="",$D28=""),"",IF(AND(AX$3&lt;=$D28,AX$3+6&gt;=$C28),IF(AND($D28&gt;=AX$3,$D28&lt;=AX$3+6),2,1),""))</f>
        <v/>
      </c>
      <c r="AY28" s="29" t="str">
        <f aca="false">IF(OR($C28="",$D28=""),"",IF(AND(AY$3&lt;=$D28,AY$3+6&gt;=$C28),IF(AND($D28&gt;=AY$3,$D28&lt;=AY$3+6),2,1),""))</f>
        <v/>
      </c>
      <c r="AZ28" s="29" t="str">
        <f aca="false">IF(OR($C28="",$D28=""),"",IF(AND(AZ$3&lt;=$D28,AZ$3+6&gt;=$C28),IF(AND($D28&gt;=AZ$3,$D28&lt;=AZ$3+6),2,1),""))</f>
        <v/>
      </c>
      <c r="BA28" s="29" t="str">
        <f aca="false">IF(OR($C28="",$D28=""),"",IF(AND(BA$3&lt;=$D28,BA$3+6&gt;=$C28),IF(AND($D28&gt;=BA$3,$D28&lt;=BA$3+6),2,1),""))</f>
        <v/>
      </c>
      <c r="BB28" s="29" t="str">
        <f aca="false">IF(OR($C28="",$D28=""),"",IF(AND(BB$3&lt;=$D28,BB$3+6&gt;=$C28),IF(AND($D28&gt;=BB$3,$D28&lt;=BB$3+6),2,1),""))</f>
        <v/>
      </c>
      <c r="BC28" s="29" t="str">
        <f aca="false">IF(OR($C28="",$D28=""),"",IF(AND(BC$3&lt;=$D28,BC$3+6&gt;=$C28),IF(AND($D28&gt;=BC$3,$D28&lt;=BC$3+6),2,1),""))</f>
        <v/>
      </c>
      <c r="BD28" s="29" t="str">
        <f aca="false">IF(OR($C28="",$D28=""),"",IF(AND(BD$3&lt;=$D28,BD$3+6&gt;=$C28),IF(AND($D28&gt;=BD$3,$D28&lt;=BD$3+6),2,1),""))</f>
        <v/>
      </c>
      <c r="BE28" s="29" t="str">
        <f aca="false">IF(OR($C28="",$D28=""),"",IF(AND(BE$3&lt;=$D28,BE$3+6&gt;=$C28),IF(AND($D28&gt;=BE$3,$D28&lt;=BE$3+6),2,1),""))</f>
        <v/>
      </c>
      <c r="BF28" s="29" t="str">
        <f aca="false">IF(OR($C28="",$D28=""),"",IF(AND(BF$3&lt;=$D28,BF$3+6&gt;=$C28),IF(AND($D28&gt;=BF$3,$D28&lt;=BF$3+6),2,1),""))</f>
        <v/>
      </c>
    </row>
    <row r="29" customFormat="false" ht="15" hidden="false" customHeight="true" outlineLevel="0" collapsed="false">
      <c r="A29" s="16" t="s">
        <v>217</v>
      </c>
      <c r="B29" s="27" t="str">
        <f aca="false">IFERROR(INDEX(Plan!$C$2:$C$400,MATCH($A29,Plan!$A$2:$A$400,0)),"")</f>
        <v>Framework charter</v>
      </c>
      <c r="C29" s="28" t="n">
        <f aca="false">IFERROR(INDEX(Plan!$I$2:$I$400,MATCH($A29,Plan!$A$2:$A$400,0)),"")</f>
        <v>46321</v>
      </c>
      <c r="D29" s="28" t="n">
        <f aca="false">IFERROR(INDEX(Plan!$J$2:$J$400,MATCH($A29,Plan!$A$2:$A$400,0)),"")</f>
        <v>46332</v>
      </c>
      <c r="E29" s="29" t="n">
        <f aca="false">IF(OR($C29="",$D29=""),"",IF(AND(E$3&lt;=$D29,E$3+6&gt;=$C29),IF(AND($D29&gt;=E$3,$D29&lt;=E$3+6),2,1),""))</f>
        <v>1</v>
      </c>
      <c r="F29" s="29" t="n">
        <f aca="false">IF(OR($C29="",$D29=""),"",IF(AND(F$3&lt;=$D29,F$3+6&gt;=$C29),IF(AND($D29&gt;=F$3,$D29&lt;=F$3+6),2,1),""))</f>
        <v>2</v>
      </c>
      <c r="G29" s="29" t="str">
        <f aca="false">IF(OR($C29="",$D29=""),"",IF(AND(G$3&lt;=$D29,G$3+6&gt;=$C29),IF(AND($D29&gt;=G$3,$D29&lt;=G$3+6),2,1),""))</f>
        <v/>
      </c>
      <c r="H29" s="29" t="str">
        <f aca="false">IF(OR($C29="",$D29=""),"",IF(AND(H$3&lt;=$D29,H$3+6&gt;=$C29),IF(AND($D29&gt;=H$3,$D29&lt;=H$3+6),2,1),""))</f>
        <v/>
      </c>
      <c r="I29" s="29" t="str">
        <f aca="false">IF(OR($C29="",$D29=""),"",IF(AND(I$3&lt;=$D29,I$3+6&gt;=$C29),IF(AND($D29&gt;=I$3,$D29&lt;=I$3+6),2,1),""))</f>
        <v/>
      </c>
      <c r="J29" s="29" t="str">
        <f aca="false">IF(OR($C29="",$D29=""),"",IF(AND(J$3&lt;=$D29,J$3+6&gt;=$C29),IF(AND($D29&gt;=J$3,$D29&lt;=J$3+6),2,1),""))</f>
        <v/>
      </c>
      <c r="K29" s="29" t="str">
        <f aca="false">IF(OR($C29="",$D29=""),"",IF(AND(K$3&lt;=$D29,K$3+6&gt;=$C29),IF(AND($D29&gt;=K$3,$D29&lt;=K$3+6),2,1),""))</f>
        <v/>
      </c>
      <c r="L29" s="29" t="str">
        <f aca="false">IF(OR($C29="",$D29=""),"",IF(AND(L$3&lt;=$D29,L$3+6&gt;=$C29),IF(AND($D29&gt;=L$3,$D29&lt;=L$3+6),2,1),""))</f>
        <v/>
      </c>
      <c r="M29" s="29" t="str">
        <f aca="false">IF(OR($C29="",$D29=""),"",IF(AND(M$3&lt;=$D29,M$3+6&gt;=$C29),IF(AND($D29&gt;=M$3,$D29&lt;=M$3+6),2,1),""))</f>
        <v/>
      </c>
      <c r="N29" s="29" t="str">
        <f aca="false">IF(OR($C29="",$D29=""),"",IF(AND(N$3&lt;=$D29,N$3+6&gt;=$C29),IF(AND($D29&gt;=N$3,$D29&lt;=N$3+6),2,1),""))</f>
        <v/>
      </c>
      <c r="O29" s="29" t="str">
        <f aca="false">IF(OR($C29="",$D29=""),"",IF(AND(O$3&lt;=$D29,O$3+6&gt;=$C29),IF(AND($D29&gt;=O$3,$D29&lt;=O$3+6),2,1),""))</f>
        <v/>
      </c>
      <c r="P29" s="29" t="str">
        <f aca="false">IF(OR($C29="",$D29=""),"",IF(AND(P$3&lt;=$D29,P$3+6&gt;=$C29),IF(AND($D29&gt;=P$3,$D29&lt;=P$3+6),2,1),""))</f>
        <v/>
      </c>
      <c r="Q29" s="29" t="str">
        <f aca="false">IF(OR($C29="",$D29=""),"",IF(AND(Q$3&lt;=$D29,Q$3+6&gt;=$C29),IF(AND($D29&gt;=Q$3,$D29&lt;=Q$3+6),2,1),""))</f>
        <v/>
      </c>
      <c r="R29" s="29" t="str">
        <f aca="false">IF(OR($C29="",$D29=""),"",IF(AND(R$3&lt;=$D29,R$3+6&gt;=$C29),IF(AND($D29&gt;=R$3,$D29&lt;=R$3+6),2,1),""))</f>
        <v/>
      </c>
      <c r="S29" s="29" t="str">
        <f aca="false">IF(OR($C29="",$D29=""),"",IF(AND(S$3&lt;=$D29,S$3+6&gt;=$C29),IF(AND($D29&gt;=S$3,$D29&lt;=S$3+6),2,1),""))</f>
        <v/>
      </c>
      <c r="T29" s="29" t="str">
        <f aca="false">IF(OR($C29="",$D29=""),"",IF(AND(T$3&lt;=$D29,T$3+6&gt;=$C29),IF(AND($D29&gt;=T$3,$D29&lt;=T$3+6),2,1),""))</f>
        <v/>
      </c>
      <c r="U29" s="29" t="str">
        <f aca="false">IF(OR($C29="",$D29=""),"",IF(AND(U$3&lt;=$D29,U$3+6&gt;=$C29),IF(AND($D29&gt;=U$3,$D29&lt;=U$3+6),2,1),""))</f>
        <v/>
      </c>
      <c r="V29" s="29" t="str">
        <f aca="false">IF(OR($C29="",$D29=""),"",IF(AND(V$3&lt;=$D29,V$3+6&gt;=$C29),IF(AND($D29&gt;=V$3,$D29&lt;=V$3+6),2,1),""))</f>
        <v/>
      </c>
      <c r="W29" s="29" t="str">
        <f aca="false">IF(OR($C29="",$D29=""),"",IF(AND(W$3&lt;=$D29,W$3+6&gt;=$C29),IF(AND($D29&gt;=W$3,$D29&lt;=W$3+6),2,1),""))</f>
        <v/>
      </c>
      <c r="X29" s="29" t="str">
        <f aca="false">IF(OR($C29="",$D29=""),"",IF(AND(X$3&lt;=$D29,X$3+6&gt;=$C29),IF(AND($D29&gt;=X$3,$D29&lt;=X$3+6),2,1),""))</f>
        <v/>
      </c>
      <c r="Y29" s="29" t="str">
        <f aca="false">IF(OR($C29="",$D29=""),"",IF(AND(Y$3&lt;=$D29,Y$3+6&gt;=$C29),IF(AND($D29&gt;=Y$3,$D29&lt;=Y$3+6),2,1),""))</f>
        <v/>
      </c>
      <c r="Z29" s="29" t="str">
        <f aca="false">IF(OR($C29="",$D29=""),"",IF(AND(Z$3&lt;=$D29,Z$3+6&gt;=$C29),IF(AND($D29&gt;=Z$3,$D29&lt;=Z$3+6),2,1),""))</f>
        <v/>
      </c>
      <c r="AA29" s="29" t="str">
        <f aca="false">IF(OR($C29="",$D29=""),"",IF(AND(AA$3&lt;=$D29,AA$3+6&gt;=$C29),IF(AND($D29&gt;=AA$3,$D29&lt;=AA$3+6),2,1),""))</f>
        <v/>
      </c>
      <c r="AB29" s="29" t="str">
        <f aca="false">IF(OR($C29="",$D29=""),"",IF(AND(AB$3&lt;=$D29,AB$3+6&gt;=$C29),IF(AND($D29&gt;=AB$3,$D29&lt;=AB$3+6),2,1),""))</f>
        <v/>
      </c>
      <c r="AC29" s="29" t="str">
        <f aca="false">IF(OR($C29="",$D29=""),"",IF(AND(AC$3&lt;=$D29,AC$3+6&gt;=$C29),IF(AND($D29&gt;=AC$3,$D29&lt;=AC$3+6),2,1),""))</f>
        <v/>
      </c>
      <c r="AD29" s="29" t="str">
        <f aca="false">IF(OR($C29="",$D29=""),"",IF(AND(AD$3&lt;=$D29,AD$3+6&gt;=$C29),IF(AND($D29&gt;=AD$3,$D29&lt;=AD$3+6),2,1),""))</f>
        <v/>
      </c>
      <c r="AE29" s="29" t="str">
        <f aca="false">IF(OR($C29="",$D29=""),"",IF(AND(AE$3&lt;=$D29,AE$3+6&gt;=$C29),IF(AND($D29&gt;=AE$3,$D29&lt;=AE$3+6),2,1),""))</f>
        <v/>
      </c>
      <c r="AF29" s="29" t="str">
        <f aca="false">IF(OR($C29="",$D29=""),"",IF(AND(AF$3&lt;=$D29,AF$3+6&gt;=$C29),IF(AND($D29&gt;=AF$3,$D29&lt;=AF$3+6),2,1),""))</f>
        <v/>
      </c>
      <c r="AG29" s="29" t="str">
        <f aca="false">IF(OR($C29="",$D29=""),"",IF(AND(AG$3&lt;=$D29,AG$3+6&gt;=$C29),IF(AND($D29&gt;=AG$3,$D29&lt;=AG$3+6),2,1),""))</f>
        <v/>
      </c>
      <c r="AH29" s="29" t="str">
        <f aca="false">IF(OR($C29="",$D29=""),"",IF(AND(AH$3&lt;=$D29,AH$3+6&gt;=$C29),IF(AND($D29&gt;=AH$3,$D29&lt;=AH$3+6),2,1),""))</f>
        <v/>
      </c>
      <c r="AI29" s="29" t="str">
        <f aca="false">IF(OR($C29="",$D29=""),"",IF(AND(AI$3&lt;=$D29,AI$3+6&gt;=$C29),IF(AND($D29&gt;=AI$3,$D29&lt;=AI$3+6),2,1),""))</f>
        <v/>
      </c>
      <c r="AJ29" s="29" t="str">
        <f aca="false">IF(OR($C29="",$D29=""),"",IF(AND(AJ$3&lt;=$D29,AJ$3+6&gt;=$C29),IF(AND($D29&gt;=AJ$3,$D29&lt;=AJ$3+6),2,1),""))</f>
        <v/>
      </c>
      <c r="AK29" s="29" t="str">
        <f aca="false">IF(OR($C29="",$D29=""),"",IF(AND(AK$3&lt;=$D29,AK$3+6&gt;=$C29),IF(AND($D29&gt;=AK$3,$D29&lt;=AK$3+6),2,1),""))</f>
        <v/>
      </c>
      <c r="AL29" s="29" t="str">
        <f aca="false">IF(OR($C29="",$D29=""),"",IF(AND(AL$3&lt;=$D29,AL$3+6&gt;=$C29),IF(AND($D29&gt;=AL$3,$D29&lt;=AL$3+6),2,1),""))</f>
        <v/>
      </c>
      <c r="AM29" s="29" t="str">
        <f aca="false">IF(OR($C29="",$D29=""),"",IF(AND(AM$3&lt;=$D29,AM$3+6&gt;=$C29),IF(AND($D29&gt;=AM$3,$D29&lt;=AM$3+6),2,1),""))</f>
        <v/>
      </c>
      <c r="AN29" s="29" t="str">
        <f aca="false">IF(OR($C29="",$D29=""),"",IF(AND(AN$3&lt;=$D29,AN$3+6&gt;=$C29),IF(AND($D29&gt;=AN$3,$D29&lt;=AN$3+6),2,1),""))</f>
        <v/>
      </c>
      <c r="AO29" s="29" t="str">
        <f aca="false">IF(OR($C29="",$D29=""),"",IF(AND(AO$3&lt;=$D29,AO$3+6&gt;=$C29),IF(AND($D29&gt;=AO$3,$D29&lt;=AO$3+6),2,1),""))</f>
        <v/>
      </c>
      <c r="AP29" s="29" t="str">
        <f aca="false">IF(OR($C29="",$D29=""),"",IF(AND(AP$3&lt;=$D29,AP$3+6&gt;=$C29),IF(AND($D29&gt;=AP$3,$D29&lt;=AP$3+6),2,1),""))</f>
        <v/>
      </c>
      <c r="AQ29" s="29" t="str">
        <f aca="false">IF(OR($C29="",$D29=""),"",IF(AND(AQ$3&lt;=$D29,AQ$3+6&gt;=$C29),IF(AND($D29&gt;=AQ$3,$D29&lt;=AQ$3+6),2,1),""))</f>
        <v/>
      </c>
      <c r="AR29" s="29" t="str">
        <f aca="false">IF(OR($C29="",$D29=""),"",IF(AND(AR$3&lt;=$D29,AR$3+6&gt;=$C29),IF(AND($D29&gt;=AR$3,$D29&lt;=AR$3+6),2,1),""))</f>
        <v/>
      </c>
      <c r="AS29" s="29" t="str">
        <f aca="false">IF(OR($C29="",$D29=""),"",IF(AND(AS$3&lt;=$D29,AS$3+6&gt;=$C29),IF(AND($D29&gt;=AS$3,$D29&lt;=AS$3+6),2,1),""))</f>
        <v/>
      </c>
      <c r="AT29" s="29" t="str">
        <f aca="false">IF(OR($C29="",$D29=""),"",IF(AND(AT$3&lt;=$D29,AT$3+6&gt;=$C29),IF(AND($D29&gt;=AT$3,$D29&lt;=AT$3+6),2,1),""))</f>
        <v/>
      </c>
      <c r="AU29" s="29" t="str">
        <f aca="false">IF(OR($C29="",$D29=""),"",IF(AND(AU$3&lt;=$D29,AU$3+6&gt;=$C29),IF(AND($D29&gt;=AU$3,$D29&lt;=AU$3+6),2,1),""))</f>
        <v/>
      </c>
      <c r="AV29" s="29" t="str">
        <f aca="false">IF(OR($C29="",$D29=""),"",IF(AND(AV$3&lt;=$D29,AV$3+6&gt;=$C29),IF(AND($D29&gt;=AV$3,$D29&lt;=AV$3+6),2,1),""))</f>
        <v/>
      </c>
      <c r="AW29" s="29" t="str">
        <f aca="false">IF(OR($C29="",$D29=""),"",IF(AND(AW$3&lt;=$D29,AW$3+6&gt;=$C29),IF(AND($D29&gt;=AW$3,$D29&lt;=AW$3+6),2,1),""))</f>
        <v/>
      </c>
      <c r="AX29" s="29" t="str">
        <f aca="false">IF(OR($C29="",$D29=""),"",IF(AND(AX$3&lt;=$D29,AX$3+6&gt;=$C29),IF(AND($D29&gt;=AX$3,$D29&lt;=AX$3+6),2,1),""))</f>
        <v/>
      </c>
      <c r="AY29" s="29" t="str">
        <f aca="false">IF(OR($C29="",$D29=""),"",IF(AND(AY$3&lt;=$D29,AY$3+6&gt;=$C29),IF(AND($D29&gt;=AY$3,$D29&lt;=AY$3+6),2,1),""))</f>
        <v/>
      </c>
      <c r="AZ29" s="29" t="str">
        <f aca="false">IF(OR($C29="",$D29=""),"",IF(AND(AZ$3&lt;=$D29,AZ$3+6&gt;=$C29),IF(AND($D29&gt;=AZ$3,$D29&lt;=AZ$3+6),2,1),""))</f>
        <v/>
      </c>
      <c r="BA29" s="29" t="str">
        <f aca="false">IF(OR($C29="",$D29=""),"",IF(AND(BA$3&lt;=$D29,BA$3+6&gt;=$C29),IF(AND($D29&gt;=BA$3,$D29&lt;=BA$3+6),2,1),""))</f>
        <v/>
      </c>
      <c r="BB29" s="29" t="str">
        <f aca="false">IF(OR($C29="",$D29=""),"",IF(AND(BB$3&lt;=$D29,BB$3+6&gt;=$C29),IF(AND($D29&gt;=BB$3,$D29&lt;=BB$3+6),2,1),""))</f>
        <v/>
      </c>
      <c r="BC29" s="29" t="str">
        <f aca="false">IF(OR($C29="",$D29=""),"",IF(AND(BC$3&lt;=$D29,BC$3+6&gt;=$C29),IF(AND($D29&gt;=BC$3,$D29&lt;=BC$3+6),2,1),""))</f>
        <v/>
      </c>
      <c r="BD29" s="29" t="str">
        <f aca="false">IF(OR($C29="",$D29=""),"",IF(AND(BD$3&lt;=$D29,BD$3+6&gt;=$C29),IF(AND($D29&gt;=BD$3,$D29&lt;=BD$3+6),2,1),""))</f>
        <v/>
      </c>
      <c r="BE29" s="29" t="str">
        <f aca="false">IF(OR($C29="",$D29=""),"",IF(AND(BE$3&lt;=$D29,BE$3+6&gt;=$C29),IF(AND($D29&gt;=BE$3,$D29&lt;=BE$3+6),2,1),""))</f>
        <v/>
      </c>
      <c r="BF29" s="29" t="str">
        <f aca="false">IF(OR($C29="",$D29=""),"",IF(AND(BF$3&lt;=$D29,BF$3+6&gt;=$C29),IF(AND($D29&gt;=BF$3,$D29&lt;=BF$3+6),2,1),""))</f>
        <v/>
      </c>
    </row>
    <row r="30" customFormat="false" ht="15" hidden="false" customHeight="true" outlineLevel="0" collapsed="false">
      <c r="A30" s="16" t="s">
        <v>224</v>
      </c>
      <c r="B30" s="27" t="str">
        <f aca="false">IFERROR(INDEX(Plan!$C$2:$C$400,MATCH($A30,Plan!$A$2:$A$400,0)),"")</f>
        <v>Internal plugin marketplace and framework CI</v>
      </c>
      <c r="C30" s="28" t="n">
        <f aca="false">IFERROR(INDEX(Plan!$I$2:$I$400,MATCH($A30,Plan!$A$2:$A$400,0)),"")</f>
        <v>46335</v>
      </c>
      <c r="D30" s="28" t="n">
        <f aca="false">IFERROR(INDEX(Plan!$J$2:$J$400,MATCH($A30,Plan!$A$2:$A$400,0)),"")</f>
        <v>46346</v>
      </c>
      <c r="E30" s="29" t="str">
        <f aca="false">IF(OR($C30="",$D30=""),"",IF(AND(E$3&lt;=$D30,E$3+6&gt;=$C30),IF(AND($D30&gt;=E$3,$D30&lt;=E$3+6),2,1),""))</f>
        <v/>
      </c>
      <c r="F30" s="29" t="str">
        <f aca="false">IF(OR($C30="",$D30=""),"",IF(AND(F$3&lt;=$D30,F$3+6&gt;=$C30),IF(AND($D30&gt;=F$3,$D30&lt;=F$3+6),2,1),""))</f>
        <v/>
      </c>
      <c r="G30" s="29" t="n">
        <f aca="false">IF(OR($C30="",$D30=""),"",IF(AND(G$3&lt;=$D30,G$3+6&gt;=$C30),IF(AND($D30&gt;=G$3,$D30&lt;=G$3+6),2,1),""))</f>
        <v>1</v>
      </c>
      <c r="H30" s="29" t="n">
        <f aca="false">IF(OR($C30="",$D30=""),"",IF(AND(H$3&lt;=$D30,H$3+6&gt;=$C30),IF(AND($D30&gt;=H$3,$D30&lt;=H$3+6),2,1),""))</f>
        <v>2</v>
      </c>
      <c r="I30" s="29" t="str">
        <f aca="false">IF(OR($C30="",$D30=""),"",IF(AND(I$3&lt;=$D30,I$3+6&gt;=$C30),IF(AND($D30&gt;=I$3,$D30&lt;=I$3+6),2,1),""))</f>
        <v/>
      </c>
      <c r="J30" s="29" t="str">
        <f aca="false">IF(OR($C30="",$D30=""),"",IF(AND(J$3&lt;=$D30,J$3+6&gt;=$C30),IF(AND($D30&gt;=J$3,$D30&lt;=J$3+6),2,1),""))</f>
        <v/>
      </c>
      <c r="K30" s="29" t="str">
        <f aca="false">IF(OR($C30="",$D30=""),"",IF(AND(K$3&lt;=$D30,K$3+6&gt;=$C30),IF(AND($D30&gt;=K$3,$D30&lt;=K$3+6),2,1),""))</f>
        <v/>
      </c>
      <c r="L30" s="29" t="str">
        <f aca="false">IF(OR($C30="",$D30=""),"",IF(AND(L$3&lt;=$D30,L$3+6&gt;=$C30),IF(AND($D30&gt;=L$3,$D30&lt;=L$3+6),2,1),""))</f>
        <v/>
      </c>
      <c r="M30" s="29" t="str">
        <f aca="false">IF(OR($C30="",$D30=""),"",IF(AND(M$3&lt;=$D30,M$3+6&gt;=$C30),IF(AND($D30&gt;=M$3,$D30&lt;=M$3+6),2,1),""))</f>
        <v/>
      </c>
      <c r="N30" s="29" t="str">
        <f aca="false">IF(OR($C30="",$D30=""),"",IF(AND(N$3&lt;=$D30,N$3+6&gt;=$C30),IF(AND($D30&gt;=N$3,$D30&lt;=N$3+6),2,1),""))</f>
        <v/>
      </c>
      <c r="O30" s="29" t="str">
        <f aca="false">IF(OR($C30="",$D30=""),"",IF(AND(O$3&lt;=$D30,O$3+6&gt;=$C30),IF(AND($D30&gt;=O$3,$D30&lt;=O$3+6),2,1),""))</f>
        <v/>
      </c>
      <c r="P30" s="29" t="str">
        <f aca="false">IF(OR($C30="",$D30=""),"",IF(AND(P$3&lt;=$D30,P$3+6&gt;=$C30),IF(AND($D30&gt;=P$3,$D30&lt;=P$3+6),2,1),""))</f>
        <v/>
      </c>
      <c r="Q30" s="29" t="str">
        <f aca="false">IF(OR($C30="",$D30=""),"",IF(AND(Q$3&lt;=$D30,Q$3+6&gt;=$C30),IF(AND($D30&gt;=Q$3,$D30&lt;=Q$3+6),2,1),""))</f>
        <v/>
      </c>
      <c r="R30" s="29" t="str">
        <f aca="false">IF(OR($C30="",$D30=""),"",IF(AND(R$3&lt;=$D30,R$3+6&gt;=$C30),IF(AND($D30&gt;=R$3,$D30&lt;=R$3+6),2,1),""))</f>
        <v/>
      </c>
      <c r="S30" s="29" t="str">
        <f aca="false">IF(OR($C30="",$D30=""),"",IF(AND(S$3&lt;=$D30,S$3+6&gt;=$C30),IF(AND($D30&gt;=S$3,$D30&lt;=S$3+6),2,1),""))</f>
        <v/>
      </c>
      <c r="T30" s="29" t="str">
        <f aca="false">IF(OR($C30="",$D30=""),"",IF(AND(T$3&lt;=$D30,T$3+6&gt;=$C30),IF(AND($D30&gt;=T$3,$D30&lt;=T$3+6),2,1),""))</f>
        <v/>
      </c>
      <c r="U30" s="29" t="str">
        <f aca="false">IF(OR($C30="",$D30=""),"",IF(AND(U$3&lt;=$D30,U$3+6&gt;=$C30),IF(AND($D30&gt;=U$3,$D30&lt;=U$3+6),2,1),""))</f>
        <v/>
      </c>
      <c r="V30" s="29" t="str">
        <f aca="false">IF(OR($C30="",$D30=""),"",IF(AND(V$3&lt;=$D30,V$3+6&gt;=$C30),IF(AND($D30&gt;=V$3,$D30&lt;=V$3+6),2,1),""))</f>
        <v/>
      </c>
      <c r="W30" s="29" t="str">
        <f aca="false">IF(OR($C30="",$D30=""),"",IF(AND(W$3&lt;=$D30,W$3+6&gt;=$C30),IF(AND($D30&gt;=W$3,$D30&lt;=W$3+6),2,1),""))</f>
        <v/>
      </c>
      <c r="X30" s="29" t="str">
        <f aca="false">IF(OR($C30="",$D30=""),"",IF(AND(X$3&lt;=$D30,X$3+6&gt;=$C30),IF(AND($D30&gt;=X$3,$D30&lt;=X$3+6),2,1),""))</f>
        <v/>
      </c>
      <c r="Y30" s="29" t="str">
        <f aca="false">IF(OR($C30="",$D30=""),"",IF(AND(Y$3&lt;=$D30,Y$3+6&gt;=$C30),IF(AND($D30&gt;=Y$3,$D30&lt;=Y$3+6),2,1),""))</f>
        <v/>
      </c>
      <c r="Z30" s="29" t="str">
        <f aca="false">IF(OR($C30="",$D30=""),"",IF(AND(Z$3&lt;=$D30,Z$3+6&gt;=$C30),IF(AND($D30&gt;=Z$3,$D30&lt;=Z$3+6),2,1),""))</f>
        <v/>
      </c>
      <c r="AA30" s="29" t="str">
        <f aca="false">IF(OR($C30="",$D30=""),"",IF(AND(AA$3&lt;=$D30,AA$3+6&gt;=$C30),IF(AND($D30&gt;=AA$3,$D30&lt;=AA$3+6),2,1),""))</f>
        <v/>
      </c>
      <c r="AB30" s="29" t="str">
        <f aca="false">IF(OR($C30="",$D30=""),"",IF(AND(AB$3&lt;=$D30,AB$3+6&gt;=$C30),IF(AND($D30&gt;=AB$3,$D30&lt;=AB$3+6),2,1),""))</f>
        <v/>
      </c>
      <c r="AC30" s="29" t="str">
        <f aca="false">IF(OR($C30="",$D30=""),"",IF(AND(AC$3&lt;=$D30,AC$3+6&gt;=$C30),IF(AND($D30&gt;=AC$3,$D30&lt;=AC$3+6),2,1),""))</f>
        <v/>
      </c>
      <c r="AD30" s="29" t="str">
        <f aca="false">IF(OR($C30="",$D30=""),"",IF(AND(AD$3&lt;=$D30,AD$3+6&gt;=$C30),IF(AND($D30&gt;=AD$3,$D30&lt;=AD$3+6),2,1),""))</f>
        <v/>
      </c>
      <c r="AE30" s="29" t="str">
        <f aca="false">IF(OR($C30="",$D30=""),"",IF(AND(AE$3&lt;=$D30,AE$3+6&gt;=$C30),IF(AND($D30&gt;=AE$3,$D30&lt;=AE$3+6),2,1),""))</f>
        <v/>
      </c>
      <c r="AF30" s="29" t="str">
        <f aca="false">IF(OR($C30="",$D30=""),"",IF(AND(AF$3&lt;=$D30,AF$3+6&gt;=$C30),IF(AND($D30&gt;=AF$3,$D30&lt;=AF$3+6),2,1),""))</f>
        <v/>
      </c>
      <c r="AG30" s="29" t="str">
        <f aca="false">IF(OR($C30="",$D30=""),"",IF(AND(AG$3&lt;=$D30,AG$3+6&gt;=$C30),IF(AND($D30&gt;=AG$3,$D30&lt;=AG$3+6),2,1),""))</f>
        <v/>
      </c>
      <c r="AH30" s="29" t="str">
        <f aca="false">IF(OR($C30="",$D30=""),"",IF(AND(AH$3&lt;=$D30,AH$3+6&gt;=$C30),IF(AND($D30&gt;=AH$3,$D30&lt;=AH$3+6),2,1),""))</f>
        <v/>
      </c>
      <c r="AI30" s="29" t="str">
        <f aca="false">IF(OR($C30="",$D30=""),"",IF(AND(AI$3&lt;=$D30,AI$3+6&gt;=$C30),IF(AND($D30&gt;=AI$3,$D30&lt;=AI$3+6),2,1),""))</f>
        <v/>
      </c>
      <c r="AJ30" s="29" t="str">
        <f aca="false">IF(OR($C30="",$D30=""),"",IF(AND(AJ$3&lt;=$D30,AJ$3+6&gt;=$C30),IF(AND($D30&gt;=AJ$3,$D30&lt;=AJ$3+6),2,1),""))</f>
        <v/>
      </c>
      <c r="AK30" s="29" t="str">
        <f aca="false">IF(OR($C30="",$D30=""),"",IF(AND(AK$3&lt;=$D30,AK$3+6&gt;=$C30),IF(AND($D30&gt;=AK$3,$D30&lt;=AK$3+6),2,1),""))</f>
        <v/>
      </c>
      <c r="AL30" s="29" t="str">
        <f aca="false">IF(OR($C30="",$D30=""),"",IF(AND(AL$3&lt;=$D30,AL$3+6&gt;=$C30),IF(AND($D30&gt;=AL$3,$D30&lt;=AL$3+6),2,1),""))</f>
        <v/>
      </c>
      <c r="AM30" s="29" t="str">
        <f aca="false">IF(OR($C30="",$D30=""),"",IF(AND(AM$3&lt;=$D30,AM$3+6&gt;=$C30),IF(AND($D30&gt;=AM$3,$D30&lt;=AM$3+6),2,1),""))</f>
        <v/>
      </c>
      <c r="AN30" s="29" t="str">
        <f aca="false">IF(OR($C30="",$D30=""),"",IF(AND(AN$3&lt;=$D30,AN$3+6&gt;=$C30),IF(AND($D30&gt;=AN$3,$D30&lt;=AN$3+6),2,1),""))</f>
        <v/>
      </c>
      <c r="AO30" s="29" t="str">
        <f aca="false">IF(OR($C30="",$D30=""),"",IF(AND(AO$3&lt;=$D30,AO$3+6&gt;=$C30),IF(AND($D30&gt;=AO$3,$D30&lt;=AO$3+6),2,1),""))</f>
        <v/>
      </c>
      <c r="AP30" s="29" t="str">
        <f aca="false">IF(OR($C30="",$D30=""),"",IF(AND(AP$3&lt;=$D30,AP$3+6&gt;=$C30),IF(AND($D30&gt;=AP$3,$D30&lt;=AP$3+6),2,1),""))</f>
        <v/>
      </c>
      <c r="AQ30" s="29" t="str">
        <f aca="false">IF(OR($C30="",$D30=""),"",IF(AND(AQ$3&lt;=$D30,AQ$3+6&gt;=$C30),IF(AND($D30&gt;=AQ$3,$D30&lt;=AQ$3+6),2,1),""))</f>
        <v/>
      </c>
      <c r="AR30" s="29" t="str">
        <f aca="false">IF(OR($C30="",$D30=""),"",IF(AND(AR$3&lt;=$D30,AR$3+6&gt;=$C30),IF(AND($D30&gt;=AR$3,$D30&lt;=AR$3+6),2,1),""))</f>
        <v/>
      </c>
      <c r="AS30" s="29" t="str">
        <f aca="false">IF(OR($C30="",$D30=""),"",IF(AND(AS$3&lt;=$D30,AS$3+6&gt;=$C30),IF(AND($D30&gt;=AS$3,$D30&lt;=AS$3+6),2,1),""))</f>
        <v/>
      </c>
      <c r="AT30" s="29" t="str">
        <f aca="false">IF(OR($C30="",$D30=""),"",IF(AND(AT$3&lt;=$D30,AT$3+6&gt;=$C30),IF(AND($D30&gt;=AT$3,$D30&lt;=AT$3+6),2,1),""))</f>
        <v/>
      </c>
      <c r="AU30" s="29" t="str">
        <f aca="false">IF(OR($C30="",$D30=""),"",IF(AND(AU$3&lt;=$D30,AU$3+6&gt;=$C30),IF(AND($D30&gt;=AU$3,$D30&lt;=AU$3+6),2,1),""))</f>
        <v/>
      </c>
      <c r="AV30" s="29" t="str">
        <f aca="false">IF(OR($C30="",$D30=""),"",IF(AND(AV$3&lt;=$D30,AV$3+6&gt;=$C30),IF(AND($D30&gt;=AV$3,$D30&lt;=AV$3+6),2,1),""))</f>
        <v/>
      </c>
      <c r="AW30" s="29" t="str">
        <f aca="false">IF(OR($C30="",$D30=""),"",IF(AND(AW$3&lt;=$D30,AW$3+6&gt;=$C30),IF(AND($D30&gt;=AW$3,$D30&lt;=AW$3+6),2,1),""))</f>
        <v/>
      </c>
      <c r="AX30" s="29" t="str">
        <f aca="false">IF(OR($C30="",$D30=""),"",IF(AND(AX$3&lt;=$D30,AX$3+6&gt;=$C30),IF(AND($D30&gt;=AX$3,$D30&lt;=AX$3+6),2,1),""))</f>
        <v/>
      </c>
      <c r="AY30" s="29" t="str">
        <f aca="false">IF(OR($C30="",$D30=""),"",IF(AND(AY$3&lt;=$D30,AY$3+6&gt;=$C30),IF(AND($D30&gt;=AY$3,$D30&lt;=AY$3+6),2,1),""))</f>
        <v/>
      </c>
      <c r="AZ30" s="29" t="str">
        <f aca="false">IF(OR($C30="",$D30=""),"",IF(AND(AZ$3&lt;=$D30,AZ$3+6&gt;=$C30),IF(AND($D30&gt;=AZ$3,$D30&lt;=AZ$3+6),2,1),""))</f>
        <v/>
      </c>
      <c r="BA30" s="29" t="str">
        <f aca="false">IF(OR($C30="",$D30=""),"",IF(AND(BA$3&lt;=$D30,BA$3+6&gt;=$C30),IF(AND($D30&gt;=BA$3,$D30&lt;=BA$3+6),2,1),""))</f>
        <v/>
      </c>
      <c r="BB30" s="29" t="str">
        <f aca="false">IF(OR($C30="",$D30=""),"",IF(AND(BB$3&lt;=$D30,BB$3+6&gt;=$C30),IF(AND($D30&gt;=BB$3,$D30&lt;=BB$3+6),2,1),""))</f>
        <v/>
      </c>
      <c r="BC30" s="29" t="str">
        <f aca="false">IF(OR($C30="",$D30=""),"",IF(AND(BC$3&lt;=$D30,BC$3+6&gt;=$C30),IF(AND($D30&gt;=BC$3,$D30&lt;=BC$3+6),2,1),""))</f>
        <v/>
      </c>
      <c r="BD30" s="29" t="str">
        <f aca="false">IF(OR($C30="",$D30=""),"",IF(AND(BD$3&lt;=$D30,BD$3+6&gt;=$C30),IF(AND($D30&gt;=BD$3,$D30&lt;=BD$3+6),2,1),""))</f>
        <v/>
      </c>
      <c r="BE30" s="29" t="str">
        <f aca="false">IF(OR($C30="",$D30=""),"",IF(AND(BE$3&lt;=$D30,BE$3+6&gt;=$C30),IF(AND($D30&gt;=BE$3,$D30&lt;=BE$3+6),2,1),""))</f>
        <v/>
      </c>
      <c r="BF30" s="29" t="str">
        <f aca="false">IF(OR($C30="",$D30=""),"",IF(AND(BF$3&lt;=$D30,BF$3+6&gt;=$C30),IF(AND($D30&gt;=BF$3,$D30&lt;=BF$3+6),2,1),""))</f>
        <v/>
      </c>
    </row>
    <row r="31" customFormat="false" ht="15" hidden="false" customHeight="true" outlineLevel="0" collapsed="false">
      <c r="A31" s="16" t="s">
        <v>231</v>
      </c>
      <c r="B31" s="27" t="str">
        <f aca="false">IFERROR(INDEX(Plan!$C$2:$C$400,MATCH($A31,Plan!$A$2:$A$400,0)),"")</f>
        <v>Skill-launched UI spike</v>
      </c>
      <c r="C31" s="28" t="n">
        <f aca="false">IFERROR(INDEX(Plan!$I$2:$I$400,MATCH($A31,Plan!$A$2:$A$400,0)),"")</f>
        <v>46335</v>
      </c>
      <c r="D31" s="28" t="n">
        <f aca="false">IFERROR(INDEX(Plan!$J$2:$J$400,MATCH($A31,Plan!$A$2:$A$400,0)),"")</f>
        <v>46346</v>
      </c>
      <c r="E31" s="29" t="str">
        <f aca="false">IF(OR($C31="",$D31=""),"",IF(AND(E$3&lt;=$D31,E$3+6&gt;=$C31),IF(AND($D31&gt;=E$3,$D31&lt;=E$3+6),2,1),""))</f>
        <v/>
      </c>
      <c r="F31" s="29" t="str">
        <f aca="false">IF(OR($C31="",$D31=""),"",IF(AND(F$3&lt;=$D31,F$3+6&gt;=$C31),IF(AND($D31&gt;=F$3,$D31&lt;=F$3+6),2,1),""))</f>
        <v/>
      </c>
      <c r="G31" s="29" t="n">
        <f aca="false">IF(OR($C31="",$D31=""),"",IF(AND(G$3&lt;=$D31,G$3+6&gt;=$C31),IF(AND($D31&gt;=G$3,$D31&lt;=G$3+6),2,1),""))</f>
        <v>1</v>
      </c>
      <c r="H31" s="29" t="n">
        <f aca="false">IF(OR($C31="",$D31=""),"",IF(AND(H$3&lt;=$D31,H$3+6&gt;=$C31),IF(AND($D31&gt;=H$3,$D31&lt;=H$3+6),2,1),""))</f>
        <v>2</v>
      </c>
      <c r="I31" s="29" t="str">
        <f aca="false">IF(OR($C31="",$D31=""),"",IF(AND(I$3&lt;=$D31,I$3+6&gt;=$C31),IF(AND($D31&gt;=I$3,$D31&lt;=I$3+6),2,1),""))</f>
        <v/>
      </c>
      <c r="J31" s="29" t="str">
        <f aca="false">IF(OR($C31="",$D31=""),"",IF(AND(J$3&lt;=$D31,J$3+6&gt;=$C31),IF(AND($D31&gt;=J$3,$D31&lt;=J$3+6),2,1),""))</f>
        <v/>
      </c>
      <c r="K31" s="29" t="str">
        <f aca="false">IF(OR($C31="",$D31=""),"",IF(AND(K$3&lt;=$D31,K$3+6&gt;=$C31),IF(AND($D31&gt;=K$3,$D31&lt;=K$3+6),2,1),""))</f>
        <v/>
      </c>
      <c r="L31" s="29" t="str">
        <f aca="false">IF(OR($C31="",$D31=""),"",IF(AND(L$3&lt;=$D31,L$3+6&gt;=$C31),IF(AND($D31&gt;=L$3,$D31&lt;=L$3+6),2,1),""))</f>
        <v/>
      </c>
      <c r="M31" s="29" t="str">
        <f aca="false">IF(OR($C31="",$D31=""),"",IF(AND(M$3&lt;=$D31,M$3+6&gt;=$C31),IF(AND($D31&gt;=M$3,$D31&lt;=M$3+6),2,1),""))</f>
        <v/>
      </c>
      <c r="N31" s="29" t="str">
        <f aca="false">IF(OR($C31="",$D31=""),"",IF(AND(N$3&lt;=$D31,N$3+6&gt;=$C31),IF(AND($D31&gt;=N$3,$D31&lt;=N$3+6),2,1),""))</f>
        <v/>
      </c>
      <c r="O31" s="29" t="str">
        <f aca="false">IF(OR($C31="",$D31=""),"",IF(AND(O$3&lt;=$D31,O$3+6&gt;=$C31),IF(AND($D31&gt;=O$3,$D31&lt;=O$3+6),2,1),""))</f>
        <v/>
      </c>
      <c r="P31" s="29" t="str">
        <f aca="false">IF(OR($C31="",$D31=""),"",IF(AND(P$3&lt;=$D31,P$3+6&gt;=$C31),IF(AND($D31&gt;=P$3,$D31&lt;=P$3+6),2,1),""))</f>
        <v/>
      </c>
      <c r="Q31" s="29" t="str">
        <f aca="false">IF(OR($C31="",$D31=""),"",IF(AND(Q$3&lt;=$D31,Q$3+6&gt;=$C31),IF(AND($D31&gt;=Q$3,$D31&lt;=Q$3+6),2,1),""))</f>
        <v/>
      </c>
      <c r="R31" s="29" t="str">
        <f aca="false">IF(OR($C31="",$D31=""),"",IF(AND(R$3&lt;=$D31,R$3+6&gt;=$C31),IF(AND($D31&gt;=R$3,$D31&lt;=R$3+6),2,1),""))</f>
        <v/>
      </c>
      <c r="S31" s="29" t="str">
        <f aca="false">IF(OR($C31="",$D31=""),"",IF(AND(S$3&lt;=$D31,S$3+6&gt;=$C31),IF(AND($D31&gt;=S$3,$D31&lt;=S$3+6),2,1),""))</f>
        <v/>
      </c>
      <c r="T31" s="29" t="str">
        <f aca="false">IF(OR($C31="",$D31=""),"",IF(AND(T$3&lt;=$D31,T$3+6&gt;=$C31),IF(AND($D31&gt;=T$3,$D31&lt;=T$3+6),2,1),""))</f>
        <v/>
      </c>
      <c r="U31" s="29" t="str">
        <f aca="false">IF(OR($C31="",$D31=""),"",IF(AND(U$3&lt;=$D31,U$3+6&gt;=$C31),IF(AND($D31&gt;=U$3,$D31&lt;=U$3+6),2,1),""))</f>
        <v/>
      </c>
      <c r="V31" s="29" t="str">
        <f aca="false">IF(OR($C31="",$D31=""),"",IF(AND(V$3&lt;=$D31,V$3+6&gt;=$C31),IF(AND($D31&gt;=V$3,$D31&lt;=V$3+6),2,1),""))</f>
        <v/>
      </c>
      <c r="W31" s="29" t="str">
        <f aca="false">IF(OR($C31="",$D31=""),"",IF(AND(W$3&lt;=$D31,W$3+6&gt;=$C31),IF(AND($D31&gt;=W$3,$D31&lt;=W$3+6),2,1),""))</f>
        <v/>
      </c>
      <c r="X31" s="29" t="str">
        <f aca="false">IF(OR($C31="",$D31=""),"",IF(AND(X$3&lt;=$D31,X$3+6&gt;=$C31),IF(AND($D31&gt;=X$3,$D31&lt;=X$3+6),2,1),""))</f>
        <v/>
      </c>
      <c r="Y31" s="29" t="str">
        <f aca="false">IF(OR($C31="",$D31=""),"",IF(AND(Y$3&lt;=$D31,Y$3+6&gt;=$C31),IF(AND($D31&gt;=Y$3,$D31&lt;=Y$3+6),2,1),""))</f>
        <v/>
      </c>
      <c r="Z31" s="29" t="str">
        <f aca="false">IF(OR($C31="",$D31=""),"",IF(AND(Z$3&lt;=$D31,Z$3+6&gt;=$C31),IF(AND($D31&gt;=Z$3,$D31&lt;=Z$3+6),2,1),""))</f>
        <v/>
      </c>
      <c r="AA31" s="29" t="str">
        <f aca="false">IF(OR($C31="",$D31=""),"",IF(AND(AA$3&lt;=$D31,AA$3+6&gt;=$C31),IF(AND($D31&gt;=AA$3,$D31&lt;=AA$3+6),2,1),""))</f>
        <v/>
      </c>
      <c r="AB31" s="29" t="str">
        <f aca="false">IF(OR($C31="",$D31=""),"",IF(AND(AB$3&lt;=$D31,AB$3+6&gt;=$C31),IF(AND($D31&gt;=AB$3,$D31&lt;=AB$3+6),2,1),""))</f>
        <v/>
      </c>
      <c r="AC31" s="29" t="str">
        <f aca="false">IF(OR($C31="",$D31=""),"",IF(AND(AC$3&lt;=$D31,AC$3+6&gt;=$C31),IF(AND($D31&gt;=AC$3,$D31&lt;=AC$3+6),2,1),""))</f>
        <v/>
      </c>
      <c r="AD31" s="29" t="str">
        <f aca="false">IF(OR($C31="",$D31=""),"",IF(AND(AD$3&lt;=$D31,AD$3+6&gt;=$C31),IF(AND($D31&gt;=AD$3,$D31&lt;=AD$3+6),2,1),""))</f>
        <v/>
      </c>
      <c r="AE31" s="29" t="str">
        <f aca="false">IF(OR($C31="",$D31=""),"",IF(AND(AE$3&lt;=$D31,AE$3+6&gt;=$C31),IF(AND($D31&gt;=AE$3,$D31&lt;=AE$3+6),2,1),""))</f>
        <v/>
      </c>
      <c r="AF31" s="29" t="str">
        <f aca="false">IF(OR($C31="",$D31=""),"",IF(AND(AF$3&lt;=$D31,AF$3+6&gt;=$C31),IF(AND($D31&gt;=AF$3,$D31&lt;=AF$3+6),2,1),""))</f>
        <v/>
      </c>
      <c r="AG31" s="29" t="str">
        <f aca="false">IF(OR($C31="",$D31=""),"",IF(AND(AG$3&lt;=$D31,AG$3+6&gt;=$C31),IF(AND($D31&gt;=AG$3,$D31&lt;=AG$3+6),2,1),""))</f>
        <v/>
      </c>
      <c r="AH31" s="29" t="str">
        <f aca="false">IF(OR($C31="",$D31=""),"",IF(AND(AH$3&lt;=$D31,AH$3+6&gt;=$C31),IF(AND($D31&gt;=AH$3,$D31&lt;=AH$3+6),2,1),""))</f>
        <v/>
      </c>
      <c r="AI31" s="29" t="str">
        <f aca="false">IF(OR($C31="",$D31=""),"",IF(AND(AI$3&lt;=$D31,AI$3+6&gt;=$C31),IF(AND($D31&gt;=AI$3,$D31&lt;=AI$3+6),2,1),""))</f>
        <v/>
      </c>
      <c r="AJ31" s="29" t="str">
        <f aca="false">IF(OR($C31="",$D31=""),"",IF(AND(AJ$3&lt;=$D31,AJ$3+6&gt;=$C31),IF(AND($D31&gt;=AJ$3,$D31&lt;=AJ$3+6),2,1),""))</f>
        <v/>
      </c>
      <c r="AK31" s="29" t="str">
        <f aca="false">IF(OR($C31="",$D31=""),"",IF(AND(AK$3&lt;=$D31,AK$3+6&gt;=$C31),IF(AND($D31&gt;=AK$3,$D31&lt;=AK$3+6),2,1),""))</f>
        <v/>
      </c>
      <c r="AL31" s="29" t="str">
        <f aca="false">IF(OR($C31="",$D31=""),"",IF(AND(AL$3&lt;=$D31,AL$3+6&gt;=$C31),IF(AND($D31&gt;=AL$3,$D31&lt;=AL$3+6),2,1),""))</f>
        <v/>
      </c>
      <c r="AM31" s="29" t="str">
        <f aca="false">IF(OR($C31="",$D31=""),"",IF(AND(AM$3&lt;=$D31,AM$3+6&gt;=$C31),IF(AND($D31&gt;=AM$3,$D31&lt;=AM$3+6),2,1),""))</f>
        <v/>
      </c>
      <c r="AN31" s="29" t="str">
        <f aca="false">IF(OR($C31="",$D31=""),"",IF(AND(AN$3&lt;=$D31,AN$3+6&gt;=$C31),IF(AND($D31&gt;=AN$3,$D31&lt;=AN$3+6),2,1),""))</f>
        <v/>
      </c>
      <c r="AO31" s="29" t="str">
        <f aca="false">IF(OR($C31="",$D31=""),"",IF(AND(AO$3&lt;=$D31,AO$3+6&gt;=$C31),IF(AND($D31&gt;=AO$3,$D31&lt;=AO$3+6),2,1),""))</f>
        <v/>
      </c>
      <c r="AP31" s="29" t="str">
        <f aca="false">IF(OR($C31="",$D31=""),"",IF(AND(AP$3&lt;=$D31,AP$3+6&gt;=$C31),IF(AND($D31&gt;=AP$3,$D31&lt;=AP$3+6),2,1),""))</f>
        <v/>
      </c>
      <c r="AQ31" s="29" t="str">
        <f aca="false">IF(OR($C31="",$D31=""),"",IF(AND(AQ$3&lt;=$D31,AQ$3+6&gt;=$C31),IF(AND($D31&gt;=AQ$3,$D31&lt;=AQ$3+6),2,1),""))</f>
        <v/>
      </c>
      <c r="AR31" s="29" t="str">
        <f aca="false">IF(OR($C31="",$D31=""),"",IF(AND(AR$3&lt;=$D31,AR$3+6&gt;=$C31),IF(AND($D31&gt;=AR$3,$D31&lt;=AR$3+6),2,1),""))</f>
        <v/>
      </c>
      <c r="AS31" s="29" t="str">
        <f aca="false">IF(OR($C31="",$D31=""),"",IF(AND(AS$3&lt;=$D31,AS$3+6&gt;=$C31),IF(AND($D31&gt;=AS$3,$D31&lt;=AS$3+6),2,1),""))</f>
        <v/>
      </c>
      <c r="AT31" s="29" t="str">
        <f aca="false">IF(OR($C31="",$D31=""),"",IF(AND(AT$3&lt;=$D31,AT$3+6&gt;=$C31),IF(AND($D31&gt;=AT$3,$D31&lt;=AT$3+6),2,1),""))</f>
        <v/>
      </c>
      <c r="AU31" s="29" t="str">
        <f aca="false">IF(OR($C31="",$D31=""),"",IF(AND(AU$3&lt;=$D31,AU$3+6&gt;=$C31),IF(AND($D31&gt;=AU$3,$D31&lt;=AU$3+6),2,1),""))</f>
        <v/>
      </c>
      <c r="AV31" s="29" t="str">
        <f aca="false">IF(OR($C31="",$D31=""),"",IF(AND(AV$3&lt;=$D31,AV$3+6&gt;=$C31),IF(AND($D31&gt;=AV$3,$D31&lt;=AV$3+6),2,1),""))</f>
        <v/>
      </c>
      <c r="AW31" s="29" t="str">
        <f aca="false">IF(OR($C31="",$D31=""),"",IF(AND(AW$3&lt;=$D31,AW$3+6&gt;=$C31),IF(AND($D31&gt;=AW$3,$D31&lt;=AW$3+6),2,1),""))</f>
        <v/>
      </c>
      <c r="AX31" s="29" t="str">
        <f aca="false">IF(OR($C31="",$D31=""),"",IF(AND(AX$3&lt;=$D31,AX$3+6&gt;=$C31),IF(AND($D31&gt;=AX$3,$D31&lt;=AX$3+6),2,1),""))</f>
        <v/>
      </c>
      <c r="AY31" s="29" t="str">
        <f aca="false">IF(OR($C31="",$D31=""),"",IF(AND(AY$3&lt;=$D31,AY$3+6&gt;=$C31),IF(AND($D31&gt;=AY$3,$D31&lt;=AY$3+6),2,1),""))</f>
        <v/>
      </c>
      <c r="AZ31" s="29" t="str">
        <f aca="false">IF(OR($C31="",$D31=""),"",IF(AND(AZ$3&lt;=$D31,AZ$3+6&gt;=$C31),IF(AND($D31&gt;=AZ$3,$D31&lt;=AZ$3+6),2,1),""))</f>
        <v/>
      </c>
      <c r="BA31" s="29" t="str">
        <f aca="false">IF(OR($C31="",$D31=""),"",IF(AND(BA$3&lt;=$D31,BA$3+6&gt;=$C31),IF(AND($D31&gt;=BA$3,$D31&lt;=BA$3+6),2,1),""))</f>
        <v/>
      </c>
      <c r="BB31" s="29" t="str">
        <f aca="false">IF(OR($C31="",$D31=""),"",IF(AND(BB$3&lt;=$D31,BB$3+6&gt;=$C31),IF(AND($D31&gt;=BB$3,$D31&lt;=BB$3+6),2,1),""))</f>
        <v/>
      </c>
      <c r="BC31" s="29" t="str">
        <f aca="false">IF(OR($C31="",$D31=""),"",IF(AND(BC$3&lt;=$D31,BC$3+6&gt;=$C31),IF(AND($D31&gt;=BC$3,$D31&lt;=BC$3+6),2,1),""))</f>
        <v/>
      </c>
      <c r="BD31" s="29" t="str">
        <f aca="false">IF(OR($C31="",$D31=""),"",IF(AND(BD$3&lt;=$D31,BD$3+6&gt;=$C31),IF(AND($D31&gt;=BD$3,$D31&lt;=BD$3+6),2,1),""))</f>
        <v/>
      </c>
      <c r="BE31" s="29" t="str">
        <f aca="false">IF(OR($C31="",$D31=""),"",IF(AND(BE$3&lt;=$D31,BE$3+6&gt;=$C31),IF(AND($D31&gt;=BE$3,$D31&lt;=BE$3+6),2,1),""))</f>
        <v/>
      </c>
      <c r="BF31" s="29" t="str">
        <f aca="false">IF(OR($C31="",$D31=""),"",IF(AND(BF$3&lt;=$D31,BF$3+6&gt;=$C31),IF(AND($D31&gt;=BF$3,$D31&lt;=BF$3+6),2,1),""))</f>
        <v/>
      </c>
    </row>
    <row r="32" customFormat="false" ht="15" hidden="false" customHeight="true" outlineLevel="0" collapsed="false">
      <c r="A32" s="16" t="s">
        <v>236</v>
      </c>
      <c r="B32" s="27" t="str">
        <f aca="false">IFERROR(INDEX(Plan!$C$2:$C$400,MATCH($A32,Plan!$A$2:$A$400,0)),"")</f>
        <v>Framework v0.5: plan-and-build agents</v>
      </c>
      <c r="C32" s="28" t="n">
        <f aca="false">IFERROR(INDEX(Plan!$I$2:$I$400,MATCH($A32,Plan!$A$2:$A$400,0)),"")</f>
        <v>46335</v>
      </c>
      <c r="D32" s="28" t="n">
        <f aca="false">IFERROR(INDEX(Plan!$J$2:$J$400,MATCH($A32,Plan!$A$2:$A$400,0)),"")</f>
        <v>46353</v>
      </c>
      <c r="E32" s="29" t="str">
        <f aca="false">IF(OR($C32="",$D32=""),"",IF(AND(E$3&lt;=$D32,E$3+6&gt;=$C32),IF(AND($D32&gt;=E$3,$D32&lt;=E$3+6),2,1),""))</f>
        <v/>
      </c>
      <c r="F32" s="29" t="str">
        <f aca="false">IF(OR($C32="",$D32=""),"",IF(AND(F$3&lt;=$D32,F$3+6&gt;=$C32),IF(AND($D32&gt;=F$3,$D32&lt;=F$3+6),2,1),""))</f>
        <v/>
      </c>
      <c r="G32" s="29" t="n">
        <f aca="false">IF(OR($C32="",$D32=""),"",IF(AND(G$3&lt;=$D32,G$3+6&gt;=$C32),IF(AND($D32&gt;=G$3,$D32&lt;=G$3+6),2,1),""))</f>
        <v>1</v>
      </c>
      <c r="H32" s="29" t="n">
        <f aca="false">IF(OR($C32="",$D32=""),"",IF(AND(H$3&lt;=$D32,H$3+6&gt;=$C32),IF(AND($D32&gt;=H$3,$D32&lt;=H$3+6),2,1),""))</f>
        <v>1</v>
      </c>
      <c r="I32" s="29" t="n">
        <f aca="false">IF(OR($C32="",$D32=""),"",IF(AND(I$3&lt;=$D32,I$3+6&gt;=$C32),IF(AND($D32&gt;=I$3,$D32&lt;=I$3+6),2,1),""))</f>
        <v>2</v>
      </c>
      <c r="J32" s="29" t="str">
        <f aca="false">IF(OR($C32="",$D32=""),"",IF(AND(J$3&lt;=$D32,J$3+6&gt;=$C32),IF(AND($D32&gt;=J$3,$D32&lt;=J$3+6),2,1),""))</f>
        <v/>
      </c>
      <c r="K32" s="29" t="str">
        <f aca="false">IF(OR($C32="",$D32=""),"",IF(AND(K$3&lt;=$D32,K$3+6&gt;=$C32),IF(AND($D32&gt;=K$3,$D32&lt;=K$3+6),2,1),""))</f>
        <v/>
      </c>
      <c r="L32" s="29" t="str">
        <f aca="false">IF(OR($C32="",$D32=""),"",IF(AND(L$3&lt;=$D32,L$3+6&gt;=$C32),IF(AND($D32&gt;=L$3,$D32&lt;=L$3+6),2,1),""))</f>
        <v/>
      </c>
      <c r="M32" s="29" t="str">
        <f aca="false">IF(OR($C32="",$D32=""),"",IF(AND(M$3&lt;=$D32,M$3+6&gt;=$C32),IF(AND($D32&gt;=M$3,$D32&lt;=M$3+6),2,1),""))</f>
        <v/>
      </c>
      <c r="N32" s="29" t="str">
        <f aca="false">IF(OR($C32="",$D32=""),"",IF(AND(N$3&lt;=$D32,N$3+6&gt;=$C32),IF(AND($D32&gt;=N$3,$D32&lt;=N$3+6),2,1),""))</f>
        <v/>
      </c>
      <c r="O32" s="29" t="str">
        <f aca="false">IF(OR($C32="",$D32=""),"",IF(AND(O$3&lt;=$D32,O$3+6&gt;=$C32),IF(AND($D32&gt;=O$3,$D32&lt;=O$3+6),2,1),""))</f>
        <v/>
      </c>
      <c r="P32" s="29" t="str">
        <f aca="false">IF(OR($C32="",$D32=""),"",IF(AND(P$3&lt;=$D32,P$3+6&gt;=$C32),IF(AND($D32&gt;=P$3,$D32&lt;=P$3+6),2,1),""))</f>
        <v/>
      </c>
      <c r="Q32" s="29" t="str">
        <f aca="false">IF(OR($C32="",$D32=""),"",IF(AND(Q$3&lt;=$D32,Q$3+6&gt;=$C32),IF(AND($D32&gt;=Q$3,$D32&lt;=Q$3+6),2,1),""))</f>
        <v/>
      </c>
      <c r="R32" s="29" t="str">
        <f aca="false">IF(OR($C32="",$D32=""),"",IF(AND(R$3&lt;=$D32,R$3+6&gt;=$C32),IF(AND($D32&gt;=R$3,$D32&lt;=R$3+6),2,1),""))</f>
        <v/>
      </c>
      <c r="S32" s="29" t="str">
        <f aca="false">IF(OR($C32="",$D32=""),"",IF(AND(S$3&lt;=$D32,S$3+6&gt;=$C32),IF(AND($D32&gt;=S$3,$D32&lt;=S$3+6),2,1),""))</f>
        <v/>
      </c>
      <c r="T32" s="29" t="str">
        <f aca="false">IF(OR($C32="",$D32=""),"",IF(AND(T$3&lt;=$D32,T$3+6&gt;=$C32),IF(AND($D32&gt;=T$3,$D32&lt;=T$3+6),2,1),""))</f>
        <v/>
      </c>
      <c r="U32" s="29" t="str">
        <f aca="false">IF(OR($C32="",$D32=""),"",IF(AND(U$3&lt;=$D32,U$3+6&gt;=$C32),IF(AND($D32&gt;=U$3,$D32&lt;=U$3+6),2,1),""))</f>
        <v/>
      </c>
      <c r="V32" s="29" t="str">
        <f aca="false">IF(OR($C32="",$D32=""),"",IF(AND(V$3&lt;=$D32,V$3+6&gt;=$C32),IF(AND($D32&gt;=V$3,$D32&lt;=V$3+6),2,1),""))</f>
        <v/>
      </c>
      <c r="W32" s="29" t="str">
        <f aca="false">IF(OR($C32="",$D32=""),"",IF(AND(W$3&lt;=$D32,W$3+6&gt;=$C32),IF(AND($D32&gt;=W$3,$D32&lt;=W$3+6),2,1),""))</f>
        <v/>
      </c>
      <c r="X32" s="29" t="str">
        <f aca="false">IF(OR($C32="",$D32=""),"",IF(AND(X$3&lt;=$D32,X$3+6&gt;=$C32),IF(AND($D32&gt;=X$3,$D32&lt;=X$3+6),2,1),""))</f>
        <v/>
      </c>
      <c r="Y32" s="29" t="str">
        <f aca="false">IF(OR($C32="",$D32=""),"",IF(AND(Y$3&lt;=$D32,Y$3+6&gt;=$C32),IF(AND($D32&gt;=Y$3,$D32&lt;=Y$3+6),2,1),""))</f>
        <v/>
      </c>
      <c r="Z32" s="29" t="str">
        <f aca="false">IF(OR($C32="",$D32=""),"",IF(AND(Z$3&lt;=$D32,Z$3+6&gt;=$C32),IF(AND($D32&gt;=Z$3,$D32&lt;=Z$3+6),2,1),""))</f>
        <v/>
      </c>
      <c r="AA32" s="29" t="str">
        <f aca="false">IF(OR($C32="",$D32=""),"",IF(AND(AA$3&lt;=$D32,AA$3+6&gt;=$C32),IF(AND($D32&gt;=AA$3,$D32&lt;=AA$3+6),2,1),""))</f>
        <v/>
      </c>
      <c r="AB32" s="29" t="str">
        <f aca="false">IF(OR($C32="",$D32=""),"",IF(AND(AB$3&lt;=$D32,AB$3+6&gt;=$C32),IF(AND($D32&gt;=AB$3,$D32&lt;=AB$3+6),2,1),""))</f>
        <v/>
      </c>
      <c r="AC32" s="29" t="str">
        <f aca="false">IF(OR($C32="",$D32=""),"",IF(AND(AC$3&lt;=$D32,AC$3+6&gt;=$C32),IF(AND($D32&gt;=AC$3,$D32&lt;=AC$3+6),2,1),""))</f>
        <v/>
      </c>
      <c r="AD32" s="29" t="str">
        <f aca="false">IF(OR($C32="",$D32=""),"",IF(AND(AD$3&lt;=$D32,AD$3+6&gt;=$C32),IF(AND($D32&gt;=AD$3,$D32&lt;=AD$3+6),2,1),""))</f>
        <v/>
      </c>
      <c r="AE32" s="29" t="str">
        <f aca="false">IF(OR($C32="",$D32=""),"",IF(AND(AE$3&lt;=$D32,AE$3+6&gt;=$C32),IF(AND($D32&gt;=AE$3,$D32&lt;=AE$3+6),2,1),""))</f>
        <v/>
      </c>
      <c r="AF32" s="29" t="str">
        <f aca="false">IF(OR($C32="",$D32=""),"",IF(AND(AF$3&lt;=$D32,AF$3+6&gt;=$C32),IF(AND($D32&gt;=AF$3,$D32&lt;=AF$3+6),2,1),""))</f>
        <v/>
      </c>
      <c r="AG32" s="29" t="str">
        <f aca="false">IF(OR($C32="",$D32=""),"",IF(AND(AG$3&lt;=$D32,AG$3+6&gt;=$C32),IF(AND($D32&gt;=AG$3,$D32&lt;=AG$3+6),2,1),""))</f>
        <v/>
      </c>
      <c r="AH32" s="29" t="str">
        <f aca="false">IF(OR($C32="",$D32=""),"",IF(AND(AH$3&lt;=$D32,AH$3+6&gt;=$C32),IF(AND($D32&gt;=AH$3,$D32&lt;=AH$3+6),2,1),""))</f>
        <v/>
      </c>
      <c r="AI32" s="29" t="str">
        <f aca="false">IF(OR($C32="",$D32=""),"",IF(AND(AI$3&lt;=$D32,AI$3+6&gt;=$C32),IF(AND($D32&gt;=AI$3,$D32&lt;=AI$3+6),2,1),""))</f>
        <v/>
      </c>
      <c r="AJ32" s="29" t="str">
        <f aca="false">IF(OR($C32="",$D32=""),"",IF(AND(AJ$3&lt;=$D32,AJ$3+6&gt;=$C32),IF(AND($D32&gt;=AJ$3,$D32&lt;=AJ$3+6),2,1),""))</f>
        <v/>
      </c>
      <c r="AK32" s="29" t="str">
        <f aca="false">IF(OR($C32="",$D32=""),"",IF(AND(AK$3&lt;=$D32,AK$3+6&gt;=$C32),IF(AND($D32&gt;=AK$3,$D32&lt;=AK$3+6),2,1),""))</f>
        <v/>
      </c>
      <c r="AL32" s="29" t="str">
        <f aca="false">IF(OR($C32="",$D32=""),"",IF(AND(AL$3&lt;=$D32,AL$3+6&gt;=$C32),IF(AND($D32&gt;=AL$3,$D32&lt;=AL$3+6),2,1),""))</f>
        <v/>
      </c>
      <c r="AM32" s="29" t="str">
        <f aca="false">IF(OR($C32="",$D32=""),"",IF(AND(AM$3&lt;=$D32,AM$3+6&gt;=$C32),IF(AND($D32&gt;=AM$3,$D32&lt;=AM$3+6),2,1),""))</f>
        <v/>
      </c>
      <c r="AN32" s="29" t="str">
        <f aca="false">IF(OR($C32="",$D32=""),"",IF(AND(AN$3&lt;=$D32,AN$3+6&gt;=$C32),IF(AND($D32&gt;=AN$3,$D32&lt;=AN$3+6),2,1),""))</f>
        <v/>
      </c>
      <c r="AO32" s="29" t="str">
        <f aca="false">IF(OR($C32="",$D32=""),"",IF(AND(AO$3&lt;=$D32,AO$3+6&gt;=$C32),IF(AND($D32&gt;=AO$3,$D32&lt;=AO$3+6),2,1),""))</f>
        <v/>
      </c>
      <c r="AP32" s="29" t="str">
        <f aca="false">IF(OR($C32="",$D32=""),"",IF(AND(AP$3&lt;=$D32,AP$3+6&gt;=$C32),IF(AND($D32&gt;=AP$3,$D32&lt;=AP$3+6),2,1),""))</f>
        <v/>
      </c>
      <c r="AQ32" s="29" t="str">
        <f aca="false">IF(OR($C32="",$D32=""),"",IF(AND(AQ$3&lt;=$D32,AQ$3+6&gt;=$C32),IF(AND($D32&gt;=AQ$3,$D32&lt;=AQ$3+6),2,1),""))</f>
        <v/>
      </c>
      <c r="AR32" s="29" t="str">
        <f aca="false">IF(OR($C32="",$D32=""),"",IF(AND(AR$3&lt;=$D32,AR$3+6&gt;=$C32),IF(AND($D32&gt;=AR$3,$D32&lt;=AR$3+6),2,1),""))</f>
        <v/>
      </c>
      <c r="AS32" s="29" t="str">
        <f aca="false">IF(OR($C32="",$D32=""),"",IF(AND(AS$3&lt;=$D32,AS$3+6&gt;=$C32),IF(AND($D32&gt;=AS$3,$D32&lt;=AS$3+6),2,1),""))</f>
        <v/>
      </c>
      <c r="AT32" s="29" t="str">
        <f aca="false">IF(OR($C32="",$D32=""),"",IF(AND(AT$3&lt;=$D32,AT$3+6&gt;=$C32),IF(AND($D32&gt;=AT$3,$D32&lt;=AT$3+6),2,1),""))</f>
        <v/>
      </c>
      <c r="AU32" s="29" t="str">
        <f aca="false">IF(OR($C32="",$D32=""),"",IF(AND(AU$3&lt;=$D32,AU$3+6&gt;=$C32),IF(AND($D32&gt;=AU$3,$D32&lt;=AU$3+6),2,1),""))</f>
        <v/>
      </c>
      <c r="AV32" s="29" t="str">
        <f aca="false">IF(OR($C32="",$D32=""),"",IF(AND(AV$3&lt;=$D32,AV$3+6&gt;=$C32),IF(AND($D32&gt;=AV$3,$D32&lt;=AV$3+6),2,1),""))</f>
        <v/>
      </c>
      <c r="AW32" s="29" t="str">
        <f aca="false">IF(OR($C32="",$D32=""),"",IF(AND(AW$3&lt;=$D32,AW$3+6&gt;=$C32),IF(AND($D32&gt;=AW$3,$D32&lt;=AW$3+6),2,1),""))</f>
        <v/>
      </c>
      <c r="AX32" s="29" t="str">
        <f aca="false">IF(OR($C32="",$D32=""),"",IF(AND(AX$3&lt;=$D32,AX$3+6&gt;=$C32),IF(AND($D32&gt;=AX$3,$D32&lt;=AX$3+6),2,1),""))</f>
        <v/>
      </c>
      <c r="AY32" s="29" t="str">
        <f aca="false">IF(OR($C32="",$D32=""),"",IF(AND(AY$3&lt;=$D32,AY$3+6&gt;=$C32),IF(AND($D32&gt;=AY$3,$D32&lt;=AY$3+6),2,1),""))</f>
        <v/>
      </c>
      <c r="AZ32" s="29" t="str">
        <f aca="false">IF(OR($C32="",$D32=""),"",IF(AND(AZ$3&lt;=$D32,AZ$3+6&gt;=$C32),IF(AND($D32&gt;=AZ$3,$D32&lt;=AZ$3+6),2,1),""))</f>
        <v/>
      </c>
      <c r="BA32" s="29" t="str">
        <f aca="false">IF(OR($C32="",$D32=""),"",IF(AND(BA$3&lt;=$D32,BA$3+6&gt;=$C32),IF(AND($D32&gt;=BA$3,$D32&lt;=BA$3+6),2,1),""))</f>
        <v/>
      </c>
      <c r="BB32" s="29" t="str">
        <f aca="false">IF(OR($C32="",$D32=""),"",IF(AND(BB$3&lt;=$D32,BB$3+6&gt;=$C32),IF(AND($D32&gt;=BB$3,$D32&lt;=BB$3+6),2,1),""))</f>
        <v/>
      </c>
      <c r="BC32" s="29" t="str">
        <f aca="false">IF(OR($C32="",$D32=""),"",IF(AND(BC$3&lt;=$D32,BC$3+6&gt;=$C32),IF(AND($D32&gt;=BC$3,$D32&lt;=BC$3+6),2,1),""))</f>
        <v/>
      </c>
      <c r="BD32" s="29" t="str">
        <f aca="false">IF(OR($C32="",$D32=""),"",IF(AND(BD$3&lt;=$D32,BD$3+6&gt;=$C32),IF(AND($D32&gt;=BD$3,$D32&lt;=BD$3+6),2,1),""))</f>
        <v/>
      </c>
      <c r="BE32" s="29" t="str">
        <f aca="false">IF(OR($C32="",$D32=""),"",IF(AND(BE$3&lt;=$D32,BE$3+6&gt;=$C32),IF(AND($D32&gt;=BE$3,$D32&lt;=BE$3+6),2,1),""))</f>
        <v/>
      </c>
      <c r="BF32" s="29" t="str">
        <f aca="false">IF(OR($C32="",$D32=""),"",IF(AND(BF$3&lt;=$D32,BF$3+6&gt;=$C32),IF(AND($D32&gt;=BF$3,$D32&lt;=BF$3+6),2,1),""))</f>
        <v/>
      </c>
    </row>
    <row r="33" customFormat="false" ht="15" hidden="false" customHeight="true" outlineLevel="0" collapsed="false">
      <c r="A33" s="16" t="s">
        <v>242</v>
      </c>
      <c r="B33" s="27" t="str">
        <f aca="false">IFERROR(INDEX(Plan!$C$2:$C$400,MATCH($A33,Plan!$A$2:$A$400,0)),"")</f>
        <v>Framework v1.0: full build-and-test lifecycle</v>
      </c>
      <c r="C33" s="28" t="n">
        <f aca="false">IFERROR(INDEX(Plan!$I$2:$I$400,MATCH($A33,Plan!$A$2:$A$400,0)),"")</f>
        <v>46356</v>
      </c>
      <c r="D33" s="28" t="n">
        <f aca="false">IFERROR(INDEX(Plan!$J$2:$J$400,MATCH($A33,Plan!$A$2:$A$400,0)),"")</f>
        <v>46374</v>
      </c>
      <c r="E33" s="29" t="str">
        <f aca="false">IF(OR($C33="",$D33=""),"",IF(AND(E$3&lt;=$D33,E$3+6&gt;=$C33),IF(AND($D33&gt;=E$3,$D33&lt;=E$3+6),2,1),""))</f>
        <v/>
      </c>
      <c r="F33" s="29" t="str">
        <f aca="false">IF(OR($C33="",$D33=""),"",IF(AND(F$3&lt;=$D33,F$3+6&gt;=$C33),IF(AND($D33&gt;=F$3,$D33&lt;=F$3+6),2,1),""))</f>
        <v/>
      </c>
      <c r="G33" s="29" t="str">
        <f aca="false">IF(OR($C33="",$D33=""),"",IF(AND(G$3&lt;=$D33,G$3+6&gt;=$C33),IF(AND($D33&gt;=G$3,$D33&lt;=G$3+6),2,1),""))</f>
        <v/>
      </c>
      <c r="H33" s="29" t="str">
        <f aca="false">IF(OR($C33="",$D33=""),"",IF(AND(H$3&lt;=$D33,H$3+6&gt;=$C33),IF(AND($D33&gt;=H$3,$D33&lt;=H$3+6),2,1),""))</f>
        <v/>
      </c>
      <c r="I33" s="29" t="str">
        <f aca="false">IF(OR($C33="",$D33=""),"",IF(AND(I$3&lt;=$D33,I$3+6&gt;=$C33),IF(AND($D33&gt;=I$3,$D33&lt;=I$3+6),2,1),""))</f>
        <v/>
      </c>
      <c r="J33" s="29" t="n">
        <f aca="false">IF(OR($C33="",$D33=""),"",IF(AND(J$3&lt;=$D33,J$3+6&gt;=$C33),IF(AND($D33&gt;=J$3,$D33&lt;=J$3+6),2,1),""))</f>
        <v>1</v>
      </c>
      <c r="K33" s="29" t="n">
        <f aca="false">IF(OR($C33="",$D33=""),"",IF(AND(K$3&lt;=$D33,K$3+6&gt;=$C33),IF(AND($D33&gt;=K$3,$D33&lt;=K$3+6),2,1),""))</f>
        <v>1</v>
      </c>
      <c r="L33" s="29" t="n">
        <f aca="false">IF(OR($C33="",$D33=""),"",IF(AND(L$3&lt;=$D33,L$3+6&gt;=$C33),IF(AND($D33&gt;=L$3,$D33&lt;=L$3+6),2,1),""))</f>
        <v>2</v>
      </c>
      <c r="M33" s="29" t="str">
        <f aca="false">IF(OR($C33="",$D33=""),"",IF(AND(M$3&lt;=$D33,M$3+6&gt;=$C33),IF(AND($D33&gt;=M$3,$D33&lt;=M$3+6),2,1),""))</f>
        <v/>
      </c>
      <c r="N33" s="29" t="str">
        <f aca="false">IF(OR($C33="",$D33=""),"",IF(AND(N$3&lt;=$D33,N$3+6&gt;=$C33),IF(AND($D33&gt;=N$3,$D33&lt;=N$3+6),2,1),""))</f>
        <v/>
      </c>
      <c r="O33" s="29" t="str">
        <f aca="false">IF(OR($C33="",$D33=""),"",IF(AND(O$3&lt;=$D33,O$3+6&gt;=$C33),IF(AND($D33&gt;=O$3,$D33&lt;=O$3+6),2,1),""))</f>
        <v/>
      </c>
      <c r="P33" s="29" t="str">
        <f aca="false">IF(OR($C33="",$D33=""),"",IF(AND(P$3&lt;=$D33,P$3+6&gt;=$C33),IF(AND($D33&gt;=P$3,$D33&lt;=P$3+6),2,1),""))</f>
        <v/>
      </c>
      <c r="Q33" s="29" t="str">
        <f aca="false">IF(OR($C33="",$D33=""),"",IF(AND(Q$3&lt;=$D33,Q$3+6&gt;=$C33),IF(AND($D33&gt;=Q$3,$D33&lt;=Q$3+6),2,1),""))</f>
        <v/>
      </c>
      <c r="R33" s="29" t="str">
        <f aca="false">IF(OR($C33="",$D33=""),"",IF(AND(R$3&lt;=$D33,R$3+6&gt;=$C33),IF(AND($D33&gt;=R$3,$D33&lt;=R$3+6),2,1),""))</f>
        <v/>
      </c>
      <c r="S33" s="29" t="str">
        <f aca="false">IF(OR($C33="",$D33=""),"",IF(AND(S$3&lt;=$D33,S$3+6&gt;=$C33),IF(AND($D33&gt;=S$3,$D33&lt;=S$3+6),2,1),""))</f>
        <v/>
      </c>
      <c r="T33" s="29" t="str">
        <f aca="false">IF(OR($C33="",$D33=""),"",IF(AND(T$3&lt;=$D33,T$3+6&gt;=$C33),IF(AND($D33&gt;=T$3,$D33&lt;=T$3+6),2,1),""))</f>
        <v/>
      </c>
      <c r="U33" s="29" t="str">
        <f aca="false">IF(OR($C33="",$D33=""),"",IF(AND(U$3&lt;=$D33,U$3+6&gt;=$C33),IF(AND($D33&gt;=U$3,$D33&lt;=U$3+6),2,1),""))</f>
        <v/>
      </c>
      <c r="V33" s="29" t="str">
        <f aca="false">IF(OR($C33="",$D33=""),"",IF(AND(V$3&lt;=$D33,V$3+6&gt;=$C33),IF(AND($D33&gt;=V$3,$D33&lt;=V$3+6),2,1),""))</f>
        <v/>
      </c>
      <c r="W33" s="29" t="str">
        <f aca="false">IF(OR($C33="",$D33=""),"",IF(AND(W$3&lt;=$D33,W$3+6&gt;=$C33),IF(AND($D33&gt;=W$3,$D33&lt;=W$3+6),2,1),""))</f>
        <v/>
      </c>
      <c r="X33" s="29" t="str">
        <f aca="false">IF(OR($C33="",$D33=""),"",IF(AND(X$3&lt;=$D33,X$3+6&gt;=$C33),IF(AND($D33&gt;=X$3,$D33&lt;=X$3+6),2,1),""))</f>
        <v/>
      </c>
      <c r="Y33" s="29" t="str">
        <f aca="false">IF(OR($C33="",$D33=""),"",IF(AND(Y$3&lt;=$D33,Y$3+6&gt;=$C33),IF(AND($D33&gt;=Y$3,$D33&lt;=Y$3+6),2,1),""))</f>
        <v/>
      </c>
      <c r="Z33" s="29" t="str">
        <f aca="false">IF(OR($C33="",$D33=""),"",IF(AND(Z$3&lt;=$D33,Z$3+6&gt;=$C33),IF(AND($D33&gt;=Z$3,$D33&lt;=Z$3+6),2,1),""))</f>
        <v/>
      </c>
      <c r="AA33" s="29" t="str">
        <f aca="false">IF(OR($C33="",$D33=""),"",IF(AND(AA$3&lt;=$D33,AA$3+6&gt;=$C33),IF(AND($D33&gt;=AA$3,$D33&lt;=AA$3+6),2,1),""))</f>
        <v/>
      </c>
      <c r="AB33" s="29" t="str">
        <f aca="false">IF(OR($C33="",$D33=""),"",IF(AND(AB$3&lt;=$D33,AB$3+6&gt;=$C33),IF(AND($D33&gt;=AB$3,$D33&lt;=AB$3+6),2,1),""))</f>
        <v/>
      </c>
      <c r="AC33" s="29" t="str">
        <f aca="false">IF(OR($C33="",$D33=""),"",IF(AND(AC$3&lt;=$D33,AC$3+6&gt;=$C33),IF(AND($D33&gt;=AC$3,$D33&lt;=AC$3+6),2,1),""))</f>
        <v/>
      </c>
      <c r="AD33" s="29" t="str">
        <f aca="false">IF(OR($C33="",$D33=""),"",IF(AND(AD$3&lt;=$D33,AD$3+6&gt;=$C33),IF(AND($D33&gt;=AD$3,$D33&lt;=AD$3+6),2,1),""))</f>
        <v/>
      </c>
      <c r="AE33" s="29" t="str">
        <f aca="false">IF(OR($C33="",$D33=""),"",IF(AND(AE$3&lt;=$D33,AE$3+6&gt;=$C33),IF(AND($D33&gt;=AE$3,$D33&lt;=AE$3+6),2,1),""))</f>
        <v/>
      </c>
      <c r="AF33" s="29" t="str">
        <f aca="false">IF(OR($C33="",$D33=""),"",IF(AND(AF$3&lt;=$D33,AF$3+6&gt;=$C33),IF(AND($D33&gt;=AF$3,$D33&lt;=AF$3+6),2,1),""))</f>
        <v/>
      </c>
      <c r="AG33" s="29" t="str">
        <f aca="false">IF(OR($C33="",$D33=""),"",IF(AND(AG$3&lt;=$D33,AG$3+6&gt;=$C33),IF(AND($D33&gt;=AG$3,$D33&lt;=AG$3+6),2,1),""))</f>
        <v/>
      </c>
      <c r="AH33" s="29" t="str">
        <f aca="false">IF(OR($C33="",$D33=""),"",IF(AND(AH$3&lt;=$D33,AH$3+6&gt;=$C33),IF(AND($D33&gt;=AH$3,$D33&lt;=AH$3+6),2,1),""))</f>
        <v/>
      </c>
      <c r="AI33" s="29" t="str">
        <f aca="false">IF(OR($C33="",$D33=""),"",IF(AND(AI$3&lt;=$D33,AI$3+6&gt;=$C33),IF(AND($D33&gt;=AI$3,$D33&lt;=AI$3+6),2,1),""))</f>
        <v/>
      </c>
      <c r="AJ33" s="29" t="str">
        <f aca="false">IF(OR($C33="",$D33=""),"",IF(AND(AJ$3&lt;=$D33,AJ$3+6&gt;=$C33),IF(AND($D33&gt;=AJ$3,$D33&lt;=AJ$3+6),2,1),""))</f>
        <v/>
      </c>
      <c r="AK33" s="29" t="str">
        <f aca="false">IF(OR($C33="",$D33=""),"",IF(AND(AK$3&lt;=$D33,AK$3+6&gt;=$C33),IF(AND($D33&gt;=AK$3,$D33&lt;=AK$3+6),2,1),""))</f>
        <v/>
      </c>
      <c r="AL33" s="29" t="str">
        <f aca="false">IF(OR($C33="",$D33=""),"",IF(AND(AL$3&lt;=$D33,AL$3+6&gt;=$C33),IF(AND($D33&gt;=AL$3,$D33&lt;=AL$3+6),2,1),""))</f>
        <v/>
      </c>
      <c r="AM33" s="29" t="str">
        <f aca="false">IF(OR($C33="",$D33=""),"",IF(AND(AM$3&lt;=$D33,AM$3+6&gt;=$C33),IF(AND($D33&gt;=AM$3,$D33&lt;=AM$3+6),2,1),""))</f>
        <v/>
      </c>
      <c r="AN33" s="29" t="str">
        <f aca="false">IF(OR($C33="",$D33=""),"",IF(AND(AN$3&lt;=$D33,AN$3+6&gt;=$C33),IF(AND($D33&gt;=AN$3,$D33&lt;=AN$3+6),2,1),""))</f>
        <v/>
      </c>
      <c r="AO33" s="29" t="str">
        <f aca="false">IF(OR($C33="",$D33=""),"",IF(AND(AO$3&lt;=$D33,AO$3+6&gt;=$C33),IF(AND($D33&gt;=AO$3,$D33&lt;=AO$3+6),2,1),""))</f>
        <v/>
      </c>
      <c r="AP33" s="29" t="str">
        <f aca="false">IF(OR($C33="",$D33=""),"",IF(AND(AP$3&lt;=$D33,AP$3+6&gt;=$C33),IF(AND($D33&gt;=AP$3,$D33&lt;=AP$3+6),2,1),""))</f>
        <v/>
      </c>
      <c r="AQ33" s="29" t="str">
        <f aca="false">IF(OR($C33="",$D33=""),"",IF(AND(AQ$3&lt;=$D33,AQ$3+6&gt;=$C33),IF(AND($D33&gt;=AQ$3,$D33&lt;=AQ$3+6),2,1),""))</f>
        <v/>
      </c>
      <c r="AR33" s="29" t="str">
        <f aca="false">IF(OR($C33="",$D33=""),"",IF(AND(AR$3&lt;=$D33,AR$3+6&gt;=$C33),IF(AND($D33&gt;=AR$3,$D33&lt;=AR$3+6),2,1),""))</f>
        <v/>
      </c>
      <c r="AS33" s="29" t="str">
        <f aca="false">IF(OR($C33="",$D33=""),"",IF(AND(AS$3&lt;=$D33,AS$3+6&gt;=$C33),IF(AND($D33&gt;=AS$3,$D33&lt;=AS$3+6),2,1),""))</f>
        <v/>
      </c>
      <c r="AT33" s="29" t="str">
        <f aca="false">IF(OR($C33="",$D33=""),"",IF(AND(AT$3&lt;=$D33,AT$3+6&gt;=$C33),IF(AND($D33&gt;=AT$3,$D33&lt;=AT$3+6),2,1),""))</f>
        <v/>
      </c>
      <c r="AU33" s="29" t="str">
        <f aca="false">IF(OR($C33="",$D33=""),"",IF(AND(AU$3&lt;=$D33,AU$3+6&gt;=$C33),IF(AND($D33&gt;=AU$3,$D33&lt;=AU$3+6),2,1),""))</f>
        <v/>
      </c>
      <c r="AV33" s="29" t="str">
        <f aca="false">IF(OR($C33="",$D33=""),"",IF(AND(AV$3&lt;=$D33,AV$3+6&gt;=$C33),IF(AND($D33&gt;=AV$3,$D33&lt;=AV$3+6),2,1),""))</f>
        <v/>
      </c>
      <c r="AW33" s="29" t="str">
        <f aca="false">IF(OR($C33="",$D33=""),"",IF(AND(AW$3&lt;=$D33,AW$3+6&gt;=$C33),IF(AND($D33&gt;=AW$3,$D33&lt;=AW$3+6),2,1),""))</f>
        <v/>
      </c>
      <c r="AX33" s="29" t="str">
        <f aca="false">IF(OR($C33="",$D33=""),"",IF(AND(AX$3&lt;=$D33,AX$3+6&gt;=$C33),IF(AND($D33&gt;=AX$3,$D33&lt;=AX$3+6),2,1),""))</f>
        <v/>
      </c>
      <c r="AY33" s="29" t="str">
        <f aca="false">IF(OR($C33="",$D33=""),"",IF(AND(AY$3&lt;=$D33,AY$3+6&gt;=$C33),IF(AND($D33&gt;=AY$3,$D33&lt;=AY$3+6),2,1),""))</f>
        <v/>
      </c>
      <c r="AZ33" s="29" t="str">
        <f aca="false">IF(OR($C33="",$D33=""),"",IF(AND(AZ$3&lt;=$D33,AZ$3+6&gt;=$C33),IF(AND($D33&gt;=AZ$3,$D33&lt;=AZ$3+6),2,1),""))</f>
        <v/>
      </c>
      <c r="BA33" s="29" t="str">
        <f aca="false">IF(OR($C33="",$D33=""),"",IF(AND(BA$3&lt;=$D33,BA$3+6&gt;=$C33),IF(AND($D33&gt;=BA$3,$D33&lt;=BA$3+6),2,1),""))</f>
        <v/>
      </c>
      <c r="BB33" s="29" t="str">
        <f aca="false">IF(OR($C33="",$D33=""),"",IF(AND(BB$3&lt;=$D33,BB$3+6&gt;=$C33),IF(AND($D33&gt;=BB$3,$D33&lt;=BB$3+6),2,1),""))</f>
        <v/>
      </c>
      <c r="BC33" s="29" t="str">
        <f aca="false">IF(OR($C33="",$D33=""),"",IF(AND(BC$3&lt;=$D33,BC$3+6&gt;=$C33),IF(AND($D33&gt;=BC$3,$D33&lt;=BC$3+6),2,1),""))</f>
        <v/>
      </c>
      <c r="BD33" s="29" t="str">
        <f aca="false">IF(OR($C33="",$D33=""),"",IF(AND(BD$3&lt;=$D33,BD$3+6&gt;=$C33),IF(AND($D33&gt;=BD$3,$D33&lt;=BD$3+6),2,1),""))</f>
        <v/>
      </c>
      <c r="BE33" s="29" t="str">
        <f aca="false">IF(OR($C33="",$D33=""),"",IF(AND(BE$3&lt;=$D33,BE$3+6&gt;=$C33),IF(AND($D33&gt;=BE$3,$D33&lt;=BE$3+6),2,1),""))</f>
        <v/>
      </c>
      <c r="BF33" s="29" t="str">
        <f aca="false">IF(OR($C33="",$D33=""),"",IF(AND(BF$3&lt;=$D33,BF$3+6&gt;=$C33),IF(AND($D33&gt;=BF$3,$D33&lt;=BF$3+6),2,1),""))</f>
        <v/>
      </c>
    </row>
    <row r="34" customFormat="false" ht="15" hidden="false" customHeight="true" outlineLevel="0" collapsed="false">
      <c r="A34" s="16" t="s">
        <v>249</v>
      </c>
      <c r="B34" s="27" t="str">
        <f aca="false">IFERROR(INDEX(Plan!$C$2:$C$400,MATCH($A34,Plan!$A$2:$A$400,0)),"")</f>
        <v>Agent eval suite in CI</v>
      </c>
      <c r="C34" s="28" t="n">
        <f aca="false">IFERROR(INDEX(Plan!$I$2:$I$400,MATCH($A34,Plan!$A$2:$A$400,0)),"")</f>
        <v>46349</v>
      </c>
      <c r="D34" s="28" t="n">
        <f aca="false">IFERROR(INDEX(Plan!$J$2:$J$400,MATCH($A34,Plan!$A$2:$A$400,0)),"")</f>
        <v>46444</v>
      </c>
      <c r="E34" s="29" t="str">
        <f aca="false">IF(OR($C34="",$D34=""),"",IF(AND(E$3&lt;=$D34,E$3+6&gt;=$C34),IF(AND($D34&gt;=E$3,$D34&lt;=E$3+6),2,1),""))</f>
        <v/>
      </c>
      <c r="F34" s="29" t="str">
        <f aca="false">IF(OR($C34="",$D34=""),"",IF(AND(F$3&lt;=$D34,F$3+6&gt;=$C34),IF(AND($D34&gt;=F$3,$D34&lt;=F$3+6),2,1),""))</f>
        <v/>
      </c>
      <c r="G34" s="29" t="str">
        <f aca="false">IF(OR($C34="",$D34=""),"",IF(AND(G$3&lt;=$D34,G$3+6&gt;=$C34),IF(AND($D34&gt;=G$3,$D34&lt;=G$3+6),2,1),""))</f>
        <v/>
      </c>
      <c r="H34" s="29" t="str">
        <f aca="false">IF(OR($C34="",$D34=""),"",IF(AND(H$3&lt;=$D34,H$3+6&gt;=$C34),IF(AND($D34&gt;=H$3,$D34&lt;=H$3+6),2,1),""))</f>
        <v/>
      </c>
      <c r="I34" s="29" t="n">
        <f aca="false">IF(OR($C34="",$D34=""),"",IF(AND(I$3&lt;=$D34,I$3+6&gt;=$C34),IF(AND($D34&gt;=I$3,$D34&lt;=I$3+6),2,1),""))</f>
        <v>1</v>
      </c>
      <c r="J34" s="29" t="n">
        <f aca="false">IF(OR($C34="",$D34=""),"",IF(AND(J$3&lt;=$D34,J$3+6&gt;=$C34),IF(AND($D34&gt;=J$3,$D34&lt;=J$3+6),2,1),""))</f>
        <v>1</v>
      </c>
      <c r="K34" s="29" t="n">
        <f aca="false">IF(OR($C34="",$D34=""),"",IF(AND(K$3&lt;=$D34,K$3+6&gt;=$C34),IF(AND($D34&gt;=K$3,$D34&lt;=K$3+6),2,1),""))</f>
        <v>1</v>
      </c>
      <c r="L34" s="29" t="n">
        <f aca="false">IF(OR($C34="",$D34=""),"",IF(AND(L$3&lt;=$D34,L$3+6&gt;=$C34),IF(AND($D34&gt;=L$3,$D34&lt;=L$3+6),2,1),""))</f>
        <v>1</v>
      </c>
      <c r="M34" s="29" t="n">
        <f aca="false">IF(OR($C34="",$D34=""),"",IF(AND(M$3&lt;=$D34,M$3+6&gt;=$C34),IF(AND($D34&gt;=M$3,$D34&lt;=M$3+6),2,1),""))</f>
        <v>1</v>
      </c>
      <c r="N34" s="29" t="n">
        <f aca="false">IF(OR($C34="",$D34=""),"",IF(AND(N$3&lt;=$D34,N$3+6&gt;=$C34),IF(AND($D34&gt;=N$3,$D34&lt;=N$3+6),2,1),""))</f>
        <v>1</v>
      </c>
      <c r="O34" s="29" t="n">
        <f aca="false">IF(OR($C34="",$D34=""),"",IF(AND(O$3&lt;=$D34,O$3+6&gt;=$C34),IF(AND($D34&gt;=O$3,$D34&lt;=O$3+6),2,1),""))</f>
        <v>1</v>
      </c>
      <c r="P34" s="29" t="n">
        <f aca="false">IF(OR($C34="",$D34=""),"",IF(AND(P$3&lt;=$D34,P$3+6&gt;=$C34),IF(AND($D34&gt;=P$3,$D34&lt;=P$3+6),2,1),""))</f>
        <v>1</v>
      </c>
      <c r="Q34" s="29" t="n">
        <f aca="false">IF(OR($C34="",$D34=""),"",IF(AND(Q$3&lt;=$D34,Q$3+6&gt;=$C34),IF(AND($D34&gt;=Q$3,$D34&lt;=Q$3+6),2,1),""))</f>
        <v>1</v>
      </c>
      <c r="R34" s="29" t="n">
        <f aca="false">IF(OR($C34="",$D34=""),"",IF(AND(R$3&lt;=$D34,R$3+6&gt;=$C34),IF(AND($D34&gt;=R$3,$D34&lt;=R$3+6),2,1),""))</f>
        <v>1</v>
      </c>
      <c r="S34" s="29" t="n">
        <f aca="false">IF(OR($C34="",$D34=""),"",IF(AND(S$3&lt;=$D34,S$3+6&gt;=$C34),IF(AND($D34&gt;=S$3,$D34&lt;=S$3+6),2,1),""))</f>
        <v>1</v>
      </c>
      <c r="T34" s="29" t="n">
        <f aca="false">IF(OR($C34="",$D34=""),"",IF(AND(T$3&lt;=$D34,T$3+6&gt;=$C34),IF(AND($D34&gt;=T$3,$D34&lt;=T$3+6),2,1),""))</f>
        <v>1</v>
      </c>
      <c r="U34" s="29" t="n">
        <f aca="false">IF(OR($C34="",$D34=""),"",IF(AND(U$3&lt;=$D34,U$3+6&gt;=$C34),IF(AND($D34&gt;=U$3,$D34&lt;=U$3+6),2,1),""))</f>
        <v>1</v>
      </c>
      <c r="V34" s="29" t="n">
        <f aca="false">IF(OR($C34="",$D34=""),"",IF(AND(V$3&lt;=$D34,V$3+6&gt;=$C34),IF(AND($D34&gt;=V$3,$D34&lt;=V$3+6),2,1),""))</f>
        <v>2</v>
      </c>
      <c r="W34" s="29" t="str">
        <f aca="false">IF(OR($C34="",$D34=""),"",IF(AND(W$3&lt;=$D34,W$3+6&gt;=$C34),IF(AND($D34&gt;=W$3,$D34&lt;=W$3+6),2,1),""))</f>
        <v/>
      </c>
      <c r="X34" s="29" t="str">
        <f aca="false">IF(OR($C34="",$D34=""),"",IF(AND(X$3&lt;=$D34,X$3+6&gt;=$C34),IF(AND($D34&gt;=X$3,$D34&lt;=X$3+6),2,1),""))</f>
        <v/>
      </c>
      <c r="Y34" s="29" t="str">
        <f aca="false">IF(OR($C34="",$D34=""),"",IF(AND(Y$3&lt;=$D34,Y$3+6&gt;=$C34),IF(AND($D34&gt;=Y$3,$D34&lt;=Y$3+6),2,1),""))</f>
        <v/>
      </c>
      <c r="Z34" s="29" t="str">
        <f aca="false">IF(OR($C34="",$D34=""),"",IF(AND(Z$3&lt;=$D34,Z$3+6&gt;=$C34),IF(AND($D34&gt;=Z$3,$D34&lt;=Z$3+6),2,1),""))</f>
        <v/>
      </c>
      <c r="AA34" s="29" t="str">
        <f aca="false">IF(OR($C34="",$D34=""),"",IF(AND(AA$3&lt;=$D34,AA$3+6&gt;=$C34),IF(AND($D34&gt;=AA$3,$D34&lt;=AA$3+6),2,1),""))</f>
        <v/>
      </c>
      <c r="AB34" s="29" t="str">
        <f aca="false">IF(OR($C34="",$D34=""),"",IF(AND(AB$3&lt;=$D34,AB$3+6&gt;=$C34),IF(AND($D34&gt;=AB$3,$D34&lt;=AB$3+6),2,1),""))</f>
        <v/>
      </c>
      <c r="AC34" s="29" t="str">
        <f aca="false">IF(OR($C34="",$D34=""),"",IF(AND(AC$3&lt;=$D34,AC$3+6&gt;=$C34),IF(AND($D34&gt;=AC$3,$D34&lt;=AC$3+6),2,1),""))</f>
        <v/>
      </c>
      <c r="AD34" s="29" t="str">
        <f aca="false">IF(OR($C34="",$D34=""),"",IF(AND(AD$3&lt;=$D34,AD$3+6&gt;=$C34),IF(AND($D34&gt;=AD$3,$D34&lt;=AD$3+6),2,1),""))</f>
        <v/>
      </c>
      <c r="AE34" s="29" t="str">
        <f aca="false">IF(OR($C34="",$D34=""),"",IF(AND(AE$3&lt;=$D34,AE$3+6&gt;=$C34),IF(AND($D34&gt;=AE$3,$D34&lt;=AE$3+6),2,1),""))</f>
        <v/>
      </c>
      <c r="AF34" s="29" t="str">
        <f aca="false">IF(OR($C34="",$D34=""),"",IF(AND(AF$3&lt;=$D34,AF$3+6&gt;=$C34),IF(AND($D34&gt;=AF$3,$D34&lt;=AF$3+6),2,1),""))</f>
        <v/>
      </c>
      <c r="AG34" s="29" t="str">
        <f aca="false">IF(OR($C34="",$D34=""),"",IF(AND(AG$3&lt;=$D34,AG$3+6&gt;=$C34),IF(AND($D34&gt;=AG$3,$D34&lt;=AG$3+6),2,1),""))</f>
        <v/>
      </c>
      <c r="AH34" s="29" t="str">
        <f aca="false">IF(OR($C34="",$D34=""),"",IF(AND(AH$3&lt;=$D34,AH$3+6&gt;=$C34),IF(AND($D34&gt;=AH$3,$D34&lt;=AH$3+6),2,1),""))</f>
        <v/>
      </c>
      <c r="AI34" s="29" t="str">
        <f aca="false">IF(OR($C34="",$D34=""),"",IF(AND(AI$3&lt;=$D34,AI$3+6&gt;=$C34),IF(AND($D34&gt;=AI$3,$D34&lt;=AI$3+6),2,1),""))</f>
        <v/>
      </c>
      <c r="AJ34" s="29" t="str">
        <f aca="false">IF(OR($C34="",$D34=""),"",IF(AND(AJ$3&lt;=$D34,AJ$3+6&gt;=$C34),IF(AND($D34&gt;=AJ$3,$D34&lt;=AJ$3+6),2,1),""))</f>
        <v/>
      </c>
      <c r="AK34" s="29" t="str">
        <f aca="false">IF(OR($C34="",$D34=""),"",IF(AND(AK$3&lt;=$D34,AK$3+6&gt;=$C34),IF(AND($D34&gt;=AK$3,$D34&lt;=AK$3+6),2,1),""))</f>
        <v/>
      </c>
      <c r="AL34" s="29" t="str">
        <f aca="false">IF(OR($C34="",$D34=""),"",IF(AND(AL$3&lt;=$D34,AL$3+6&gt;=$C34),IF(AND($D34&gt;=AL$3,$D34&lt;=AL$3+6),2,1),""))</f>
        <v/>
      </c>
      <c r="AM34" s="29" t="str">
        <f aca="false">IF(OR($C34="",$D34=""),"",IF(AND(AM$3&lt;=$D34,AM$3+6&gt;=$C34),IF(AND($D34&gt;=AM$3,$D34&lt;=AM$3+6),2,1),""))</f>
        <v/>
      </c>
      <c r="AN34" s="29" t="str">
        <f aca="false">IF(OR($C34="",$D34=""),"",IF(AND(AN$3&lt;=$D34,AN$3+6&gt;=$C34),IF(AND($D34&gt;=AN$3,$D34&lt;=AN$3+6),2,1),""))</f>
        <v/>
      </c>
      <c r="AO34" s="29" t="str">
        <f aca="false">IF(OR($C34="",$D34=""),"",IF(AND(AO$3&lt;=$D34,AO$3+6&gt;=$C34),IF(AND($D34&gt;=AO$3,$D34&lt;=AO$3+6),2,1),""))</f>
        <v/>
      </c>
      <c r="AP34" s="29" t="str">
        <f aca="false">IF(OR($C34="",$D34=""),"",IF(AND(AP$3&lt;=$D34,AP$3+6&gt;=$C34),IF(AND($D34&gt;=AP$3,$D34&lt;=AP$3+6),2,1),""))</f>
        <v/>
      </c>
      <c r="AQ34" s="29" t="str">
        <f aca="false">IF(OR($C34="",$D34=""),"",IF(AND(AQ$3&lt;=$D34,AQ$3+6&gt;=$C34),IF(AND($D34&gt;=AQ$3,$D34&lt;=AQ$3+6),2,1),""))</f>
        <v/>
      </c>
      <c r="AR34" s="29" t="str">
        <f aca="false">IF(OR($C34="",$D34=""),"",IF(AND(AR$3&lt;=$D34,AR$3+6&gt;=$C34),IF(AND($D34&gt;=AR$3,$D34&lt;=AR$3+6),2,1),""))</f>
        <v/>
      </c>
      <c r="AS34" s="29" t="str">
        <f aca="false">IF(OR($C34="",$D34=""),"",IF(AND(AS$3&lt;=$D34,AS$3+6&gt;=$C34),IF(AND($D34&gt;=AS$3,$D34&lt;=AS$3+6),2,1),""))</f>
        <v/>
      </c>
      <c r="AT34" s="29" t="str">
        <f aca="false">IF(OR($C34="",$D34=""),"",IF(AND(AT$3&lt;=$D34,AT$3+6&gt;=$C34),IF(AND($D34&gt;=AT$3,$D34&lt;=AT$3+6),2,1),""))</f>
        <v/>
      </c>
      <c r="AU34" s="29" t="str">
        <f aca="false">IF(OR($C34="",$D34=""),"",IF(AND(AU$3&lt;=$D34,AU$3+6&gt;=$C34),IF(AND($D34&gt;=AU$3,$D34&lt;=AU$3+6),2,1),""))</f>
        <v/>
      </c>
      <c r="AV34" s="29" t="str">
        <f aca="false">IF(OR($C34="",$D34=""),"",IF(AND(AV$3&lt;=$D34,AV$3+6&gt;=$C34),IF(AND($D34&gt;=AV$3,$D34&lt;=AV$3+6),2,1),""))</f>
        <v/>
      </c>
      <c r="AW34" s="29" t="str">
        <f aca="false">IF(OR($C34="",$D34=""),"",IF(AND(AW$3&lt;=$D34,AW$3+6&gt;=$C34),IF(AND($D34&gt;=AW$3,$D34&lt;=AW$3+6),2,1),""))</f>
        <v/>
      </c>
      <c r="AX34" s="29" t="str">
        <f aca="false">IF(OR($C34="",$D34=""),"",IF(AND(AX$3&lt;=$D34,AX$3+6&gt;=$C34),IF(AND($D34&gt;=AX$3,$D34&lt;=AX$3+6),2,1),""))</f>
        <v/>
      </c>
      <c r="AY34" s="29" t="str">
        <f aca="false">IF(OR($C34="",$D34=""),"",IF(AND(AY$3&lt;=$D34,AY$3+6&gt;=$C34),IF(AND($D34&gt;=AY$3,$D34&lt;=AY$3+6),2,1),""))</f>
        <v/>
      </c>
      <c r="AZ34" s="29" t="str">
        <f aca="false">IF(OR($C34="",$D34=""),"",IF(AND(AZ$3&lt;=$D34,AZ$3+6&gt;=$C34),IF(AND($D34&gt;=AZ$3,$D34&lt;=AZ$3+6),2,1),""))</f>
        <v/>
      </c>
      <c r="BA34" s="29" t="str">
        <f aca="false">IF(OR($C34="",$D34=""),"",IF(AND(BA$3&lt;=$D34,BA$3+6&gt;=$C34),IF(AND($D34&gt;=BA$3,$D34&lt;=BA$3+6),2,1),""))</f>
        <v/>
      </c>
      <c r="BB34" s="29" t="str">
        <f aca="false">IF(OR($C34="",$D34=""),"",IF(AND(BB$3&lt;=$D34,BB$3+6&gt;=$C34),IF(AND($D34&gt;=BB$3,$D34&lt;=BB$3+6),2,1),""))</f>
        <v/>
      </c>
      <c r="BC34" s="29" t="str">
        <f aca="false">IF(OR($C34="",$D34=""),"",IF(AND(BC$3&lt;=$D34,BC$3+6&gt;=$C34),IF(AND($D34&gt;=BC$3,$D34&lt;=BC$3+6),2,1),""))</f>
        <v/>
      </c>
      <c r="BD34" s="29" t="str">
        <f aca="false">IF(OR($C34="",$D34=""),"",IF(AND(BD$3&lt;=$D34,BD$3+6&gt;=$C34),IF(AND($D34&gt;=BD$3,$D34&lt;=BD$3+6),2,1),""))</f>
        <v/>
      </c>
      <c r="BE34" s="29" t="str">
        <f aca="false">IF(OR($C34="",$D34=""),"",IF(AND(BE$3&lt;=$D34,BE$3+6&gt;=$C34),IF(AND($D34&gt;=BE$3,$D34&lt;=BE$3+6),2,1),""))</f>
        <v/>
      </c>
      <c r="BF34" s="29" t="str">
        <f aca="false">IF(OR($C34="",$D34=""),"",IF(AND(BF$3&lt;=$D34,BF$3+6&gt;=$C34),IF(AND($D34&gt;=BF$3,$D34&lt;=BF$3+6),2,1),""))</f>
        <v/>
      </c>
    </row>
    <row r="35" customFormat="false" ht="15" hidden="false" customHeight="true" outlineLevel="0" collapsed="false">
      <c r="A35" s="16" t="s">
        <v>254</v>
      </c>
      <c r="B35" s="27" t="str">
        <f aca="false">IFERROR(INDEX(Plan!$C$2:$C$400,MATCH($A35,Plan!$A$2:$A$400,0)),"")</f>
        <v>Continuous improvement loop</v>
      </c>
      <c r="C35" s="28" t="n">
        <f aca="false">IFERROR(INDEX(Plan!$I$2:$I$400,MATCH($A35,Plan!$A$2:$A$400,0)),"")</f>
        <v>46357</v>
      </c>
      <c r="D35" s="28" t="n">
        <f aca="false">IFERROR(INDEX(Plan!$J$2:$J$400,MATCH($A35,Plan!$A$2:$A$400,0)),"")</f>
        <v>46689</v>
      </c>
      <c r="E35" s="29" t="str">
        <f aca="false">IF(OR($C35="",$D35=""),"",IF(AND(E$3&lt;=$D35,E$3+6&gt;=$C35),IF(AND($D35&gt;=E$3,$D35&lt;=E$3+6),2,1),""))</f>
        <v/>
      </c>
      <c r="F35" s="29" t="str">
        <f aca="false">IF(OR($C35="",$D35=""),"",IF(AND(F$3&lt;=$D35,F$3+6&gt;=$C35),IF(AND($D35&gt;=F$3,$D35&lt;=F$3+6),2,1),""))</f>
        <v/>
      </c>
      <c r="G35" s="29" t="str">
        <f aca="false">IF(OR($C35="",$D35=""),"",IF(AND(G$3&lt;=$D35,G$3+6&gt;=$C35),IF(AND($D35&gt;=G$3,$D35&lt;=G$3+6),2,1),""))</f>
        <v/>
      </c>
      <c r="H35" s="29" t="str">
        <f aca="false">IF(OR($C35="",$D35=""),"",IF(AND(H$3&lt;=$D35,H$3+6&gt;=$C35),IF(AND($D35&gt;=H$3,$D35&lt;=H$3+6),2,1),""))</f>
        <v/>
      </c>
      <c r="I35" s="29" t="str">
        <f aca="false">IF(OR($C35="",$D35=""),"",IF(AND(I$3&lt;=$D35,I$3+6&gt;=$C35),IF(AND($D35&gt;=I$3,$D35&lt;=I$3+6),2,1),""))</f>
        <v/>
      </c>
      <c r="J35" s="29" t="n">
        <f aca="false">IF(OR($C35="",$D35=""),"",IF(AND(J$3&lt;=$D35,J$3+6&gt;=$C35),IF(AND($D35&gt;=J$3,$D35&lt;=J$3+6),2,1),""))</f>
        <v>1</v>
      </c>
      <c r="K35" s="29" t="n">
        <f aca="false">IF(OR($C35="",$D35=""),"",IF(AND(K$3&lt;=$D35,K$3+6&gt;=$C35),IF(AND($D35&gt;=K$3,$D35&lt;=K$3+6),2,1),""))</f>
        <v>1</v>
      </c>
      <c r="L35" s="29" t="n">
        <f aca="false">IF(OR($C35="",$D35=""),"",IF(AND(L$3&lt;=$D35,L$3+6&gt;=$C35),IF(AND($D35&gt;=L$3,$D35&lt;=L$3+6),2,1),""))</f>
        <v>1</v>
      </c>
      <c r="M35" s="29" t="n">
        <f aca="false">IF(OR($C35="",$D35=""),"",IF(AND(M$3&lt;=$D35,M$3+6&gt;=$C35),IF(AND($D35&gt;=M$3,$D35&lt;=M$3+6),2,1),""))</f>
        <v>1</v>
      </c>
      <c r="N35" s="29" t="n">
        <f aca="false">IF(OR($C35="",$D35=""),"",IF(AND(N$3&lt;=$D35,N$3+6&gt;=$C35),IF(AND($D35&gt;=N$3,$D35&lt;=N$3+6),2,1),""))</f>
        <v>1</v>
      </c>
      <c r="O35" s="29" t="n">
        <f aca="false">IF(OR($C35="",$D35=""),"",IF(AND(O$3&lt;=$D35,O$3+6&gt;=$C35),IF(AND($D35&gt;=O$3,$D35&lt;=O$3+6),2,1),""))</f>
        <v>1</v>
      </c>
      <c r="P35" s="29" t="n">
        <f aca="false">IF(OR($C35="",$D35=""),"",IF(AND(P$3&lt;=$D35,P$3+6&gt;=$C35),IF(AND($D35&gt;=P$3,$D35&lt;=P$3+6),2,1),""))</f>
        <v>1</v>
      </c>
      <c r="Q35" s="29" t="n">
        <f aca="false">IF(OR($C35="",$D35=""),"",IF(AND(Q$3&lt;=$D35,Q$3+6&gt;=$C35),IF(AND($D35&gt;=Q$3,$D35&lt;=Q$3+6),2,1),""))</f>
        <v>1</v>
      </c>
      <c r="R35" s="29" t="n">
        <f aca="false">IF(OR($C35="",$D35=""),"",IF(AND(R$3&lt;=$D35,R$3+6&gt;=$C35),IF(AND($D35&gt;=R$3,$D35&lt;=R$3+6),2,1),""))</f>
        <v>1</v>
      </c>
      <c r="S35" s="29" t="n">
        <f aca="false">IF(OR($C35="",$D35=""),"",IF(AND(S$3&lt;=$D35,S$3+6&gt;=$C35),IF(AND($D35&gt;=S$3,$D35&lt;=S$3+6),2,1),""))</f>
        <v>1</v>
      </c>
      <c r="T35" s="29" t="n">
        <f aca="false">IF(OR($C35="",$D35=""),"",IF(AND(T$3&lt;=$D35,T$3+6&gt;=$C35),IF(AND($D35&gt;=T$3,$D35&lt;=T$3+6),2,1),""))</f>
        <v>1</v>
      </c>
      <c r="U35" s="29" t="n">
        <f aca="false">IF(OR($C35="",$D35=""),"",IF(AND(U$3&lt;=$D35,U$3+6&gt;=$C35),IF(AND($D35&gt;=U$3,$D35&lt;=U$3+6),2,1),""))</f>
        <v>1</v>
      </c>
      <c r="V35" s="29" t="n">
        <f aca="false">IF(OR($C35="",$D35=""),"",IF(AND(V$3&lt;=$D35,V$3+6&gt;=$C35),IF(AND($D35&gt;=V$3,$D35&lt;=V$3+6),2,1),""))</f>
        <v>1</v>
      </c>
      <c r="W35" s="29" t="n">
        <f aca="false">IF(OR($C35="",$D35=""),"",IF(AND(W$3&lt;=$D35,W$3+6&gt;=$C35),IF(AND($D35&gt;=W$3,$D35&lt;=W$3+6),2,1),""))</f>
        <v>1</v>
      </c>
      <c r="X35" s="29" t="n">
        <f aca="false">IF(OR($C35="",$D35=""),"",IF(AND(X$3&lt;=$D35,X$3+6&gt;=$C35),IF(AND($D35&gt;=X$3,$D35&lt;=X$3+6),2,1),""))</f>
        <v>1</v>
      </c>
      <c r="Y35" s="29" t="n">
        <f aca="false">IF(OR($C35="",$D35=""),"",IF(AND(Y$3&lt;=$D35,Y$3+6&gt;=$C35),IF(AND($D35&gt;=Y$3,$D35&lt;=Y$3+6),2,1),""))</f>
        <v>1</v>
      </c>
      <c r="Z35" s="29" t="n">
        <f aca="false">IF(OR($C35="",$D35=""),"",IF(AND(Z$3&lt;=$D35,Z$3+6&gt;=$C35),IF(AND($D35&gt;=Z$3,$D35&lt;=Z$3+6),2,1),""))</f>
        <v>1</v>
      </c>
      <c r="AA35" s="29" t="n">
        <f aca="false">IF(OR($C35="",$D35=""),"",IF(AND(AA$3&lt;=$D35,AA$3+6&gt;=$C35),IF(AND($D35&gt;=AA$3,$D35&lt;=AA$3+6),2,1),""))</f>
        <v>1</v>
      </c>
      <c r="AB35" s="29" t="n">
        <f aca="false">IF(OR($C35="",$D35=""),"",IF(AND(AB$3&lt;=$D35,AB$3+6&gt;=$C35),IF(AND($D35&gt;=AB$3,$D35&lt;=AB$3+6),2,1),""))</f>
        <v>1</v>
      </c>
      <c r="AC35" s="29" t="n">
        <f aca="false">IF(OR($C35="",$D35=""),"",IF(AND(AC$3&lt;=$D35,AC$3+6&gt;=$C35),IF(AND($D35&gt;=AC$3,$D35&lt;=AC$3+6),2,1),""))</f>
        <v>1</v>
      </c>
      <c r="AD35" s="29" t="n">
        <f aca="false">IF(OR($C35="",$D35=""),"",IF(AND(AD$3&lt;=$D35,AD$3+6&gt;=$C35),IF(AND($D35&gt;=AD$3,$D35&lt;=AD$3+6),2,1),""))</f>
        <v>1</v>
      </c>
      <c r="AE35" s="29" t="n">
        <f aca="false">IF(OR($C35="",$D35=""),"",IF(AND(AE$3&lt;=$D35,AE$3+6&gt;=$C35),IF(AND($D35&gt;=AE$3,$D35&lt;=AE$3+6),2,1),""))</f>
        <v>1</v>
      </c>
      <c r="AF35" s="29" t="n">
        <f aca="false">IF(OR($C35="",$D35=""),"",IF(AND(AF$3&lt;=$D35,AF$3+6&gt;=$C35),IF(AND($D35&gt;=AF$3,$D35&lt;=AF$3+6),2,1),""))</f>
        <v>1</v>
      </c>
      <c r="AG35" s="29" t="n">
        <f aca="false">IF(OR($C35="",$D35=""),"",IF(AND(AG$3&lt;=$D35,AG$3+6&gt;=$C35),IF(AND($D35&gt;=AG$3,$D35&lt;=AG$3+6),2,1),""))</f>
        <v>1</v>
      </c>
      <c r="AH35" s="29" t="n">
        <f aca="false">IF(OR($C35="",$D35=""),"",IF(AND(AH$3&lt;=$D35,AH$3+6&gt;=$C35),IF(AND($D35&gt;=AH$3,$D35&lt;=AH$3+6),2,1),""))</f>
        <v>1</v>
      </c>
      <c r="AI35" s="29" t="n">
        <f aca="false">IF(OR($C35="",$D35=""),"",IF(AND(AI$3&lt;=$D35,AI$3+6&gt;=$C35),IF(AND($D35&gt;=AI$3,$D35&lt;=AI$3+6),2,1),""))</f>
        <v>1</v>
      </c>
      <c r="AJ35" s="29" t="n">
        <f aca="false">IF(OR($C35="",$D35=""),"",IF(AND(AJ$3&lt;=$D35,AJ$3+6&gt;=$C35),IF(AND($D35&gt;=AJ$3,$D35&lt;=AJ$3+6),2,1),""))</f>
        <v>1</v>
      </c>
      <c r="AK35" s="29" t="n">
        <f aca="false">IF(OR($C35="",$D35=""),"",IF(AND(AK$3&lt;=$D35,AK$3+6&gt;=$C35),IF(AND($D35&gt;=AK$3,$D35&lt;=AK$3+6),2,1),""))</f>
        <v>1</v>
      </c>
      <c r="AL35" s="29" t="n">
        <f aca="false">IF(OR($C35="",$D35=""),"",IF(AND(AL$3&lt;=$D35,AL$3+6&gt;=$C35),IF(AND($D35&gt;=AL$3,$D35&lt;=AL$3+6),2,1),""))</f>
        <v>1</v>
      </c>
      <c r="AM35" s="29" t="n">
        <f aca="false">IF(OR($C35="",$D35=""),"",IF(AND(AM$3&lt;=$D35,AM$3+6&gt;=$C35),IF(AND($D35&gt;=AM$3,$D35&lt;=AM$3+6),2,1),""))</f>
        <v>1</v>
      </c>
      <c r="AN35" s="29" t="n">
        <f aca="false">IF(OR($C35="",$D35=""),"",IF(AND(AN$3&lt;=$D35,AN$3+6&gt;=$C35),IF(AND($D35&gt;=AN$3,$D35&lt;=AN$3+6),2,1),""))</f>
        <v>1</v>
      </c>
      <c r="AO35" s="29" t="n">
        <f aca="false">IF(OR($C35="",$D35=""),"",IF(AND(AO$3&lt;=$D35,AO$3+6&gt;=$C35),IF(AND($D35&gt;=AO$3,$D35&lt;=AO$3+6),2,1),""))</f>
        <v>1</v>
      </c>
      <c r="AP35" s="29" t="n">
        <f aca="false">IF(OR($C35="",$D35=""),"",IF(AND(AP$3&lt;=$D35,AP$3+6&gt;=$C35),IF(AND($D35&gt;=AP$3,$D35&lt;=AP$3+6),2,1),""))</f>
        <v>1</v>
      </c>
      <c r="AQ35" s="29" t="n">
        <f aca="false">IF(OR($C35="",$D35=""),"",IF(AND(AQ$3&lt;=$D35,AQ$3+6&gt;=$C35),IF(AND($D35&gt;=AQ$3,$D35&lt;=AQ$3+6),2,1),""))</f>
        <v>1</v>
      </c>
      <c r="AR35" s="29" t="n">
        <f aca="false">IF(OR($C35="",$D35=""),"",IF(AND(AR$3&lt;=$D35,AR$3+6&gt;=$C35),IF(AND($D35&gt;=AR$3,$D35&lt;=AR$3+6),2,1),""))</f>
        <v>1</v>
      </c>
      <c r="AS35" s="29" t="n">
        <f aca="false">IF(OR($C35="",$D35=""),"",IF(AND(AS$3&lt;=$D35,AS$3+6&gt;=$C35),IF(AND($D35&gt;=AS$3,$D35&lt;=AS$3+6),2,1),""))</f>
        <v>1</v>
      </c>
      <c r="AT35" s="29" t="n">
        <f aca="false">IF(OR($C35="",$D35=""),"",IF(AND(AT$3&lt;=$D35,AT$3+6&gt;=$C35),IF(AND($D35&gt;=AT$3,$D35&lt;=AT$3+6),2,1),""))</f>
        <v>1</v>
      </c>
      <c r="AU35" s="29" t="n">
        <f aca="false">IF(OR($C35="",$D35=""),"",IF(AND(AU$3&lt;=$D35,AU$3+6&gt;=$C35),IF(AND($D35&gt;=AU$3,$D35&lt;=AU$3+6),2,1),""))</f>
        <v>1</v>
      </c>
      <c r="AV35" s="29" t="n">
        <f aca="false">IF(OR($C35="",$D35=""),"",IF(AND(AV$3&lt;=$D35,AV$3+6&gt;=$C35),IF(AND($D35&gt;=AV$3,$D35&lt;=AV$3+6),2,1),""))</f>
        <v>1</v>
      </c>
      <c r="AW35" s="29" t="n">
        <f aca="false">IF(OR($C35="",$D35=""),"",IF(AND(AW$3&lt;=$D35,AW$3+6&gt;=$C35),IF(AND($D35&gt;=AW$3,$D35&lt;=AW$3+6),2,1),""))</f>
        <v>1</v>
      </c>
      <c r="AX35" s="29" t="n">
        <f aca="false">IF(OR($C35="",$D35=""),"",IF(AND(AX$3&lt;=$D35,AX$3+6&gt;=$C35),IF(AND($D35&gt;=AX$3,$D35&lt;=AX$3+6),2,1),""))</f>
        <v>1</v>
      </c>
      <c r="AY35" s="29" t="n">
        <f aca="false">IF(OR($C35="",$D35=""),"",IF(AND(AY$3&lt;=$D35,AY$3+6&gt;=$C35),IF(AND($D35&gt;=AY$3,$D35&lt;=AY$3+6),2,1),""))</f>
        <v>1</v>
      </c>
      <c r="AZ35" s="29" t="n">
        <f aca="false">IF(OR($C35="",$D35=""),"",IF(AND(AZ$3&lt;=$D35,AZ$3+6&gt;=$C35),IF(AND($D35&gt;=AZ$3,$D35&lt;=AZ$3+6),2,1),""))</f>
        <v>1</v>
      </c>
      <c r="BA35" s="29" t="n">
        <f aca="false">IF(OR($C35="",$D35=""),"",IF(AND(BA$3&lt;=$D35,BA$3+6&gt;=$C35),IF(AND($D35&gt;=BA$3,$D35&lt;=BA$3+6),2,1),""))</f>
        <v>1</v>
      </c>
      <c r="BB35" s="29" t="n">
        <f aca="false">IF(OR($C35="",$D35=""),"",IF(AND(BB$3&lt;=$D35,BB$3+6&gt;=$C35),IF(AND($D35&gt;=BB$3,$D35&lt;=BB$3+6),2,1),""))</f>
        <v>1</v>
      </c>
      <c r="BC35" s="29" t="n">
        <f aca="false">IF(OR($C35="",$D35=""),"",IF(AND(BC$3&lt;=$D35,BC$3+6&gt;=$C35),IF(AND($D35&gt;=BC$3,$D35&lt;=BC$3+6),2,1),""))</f>
        <v>1</v>
      </c>
      <c r="BD35" s="29" t="n">
        <f aca="false">IF(OR($C35="",$D35=""),"",IF(AND(BD$3&lt;=$D35,BD$3+6&gt;=$C35),IF(AND($D35&gt;=BD$3,$D35&lt;=BD$3+6),2,1),""))</f>
        <v>1</v>
      </c>
      <c r="BE35" s="29" t="n">
        <f aca="false">IF(OR($C35="",$D35=""),"",IF(AND(BE$3&lt;=$D35,BE$3+6&gt;=$C35),IF(AND($D35&gt;=BE$3,$D35&lt;=BE$3+6),2,1),""))</f>
        <v>2</v>
      </c>
      <c r="BF35" s="29" t="str">
        <f aca="false">IF(OR($C35="",$D35=""),"",IF(AND(BF$3&lt;=$D35,BF$3+6&gt;=$C35),IF(AND($D35&gt;=BF$3,$D35&lt;=BF$3+6),2,1),""))</f>
        <v/>
      </c>
    </row>
    <row r="36" customFormat="false" ht="15" hidden="false" customHeight="true" outlineLevel="0" collapsed="false">
      <c r="A36" s="16" t="s">
        <v>258</v>
      </c>
      <c r="B36" s="27" t="str">
        <f aca="false">IFERROR(INDEX(Plan!$C$2:$C$400,MATCH($A36,Plan!$A$2:$A$400,0)),"")</f>
        <v>Operations (SRE) diagnosis agent</v>
      </c>
      <c r="C36" s="28" t="n">
        <f aca="false">IFERROR(INDEX(Plan!$I$2:$I$400,MATCH($A36,Plan!$A$2:$A$400,0)),"")</f>
        <v>46391</v>
      </c>
      <c r="D36" s="28" t="n">
        <f aca="false">IFERROR(INDEX(Plan!$J$2:$J$400,MATCH($A36,Plan!$A$2:$A$400,0)),"")</f>
        <v>46472</v>
      </c>
      <c r="E36" s="29" t="str">
        <f aca="false">IF(OR($C36="",$D36=""),"",IF(AND(E$3&lt;=$D36,E$3+6&gt;=$C36),IF(AND($D36&gt;=E$3,$D36&lt;=E$3+6),2,1),""))</f>
        <v/>
      </c>
      <c r="F36" s="29" t="str">
        <f aca="false">IF(OR($C36="",$D36=""),"",IF(AND(F$3&lt;=$D36,F$3+6&gt;=$C36),IF(AND($D36&gt;=F$3,$D36&lt;=F$3+6),2,1),""))</f>
        <v/>
      </c>
      <c r="G36" s="29" t="str">
        <f aca="false">IF(OR($C36="",$D36=""),"",IF(AND(G$3&lt;=$D36,G$3+6&gt;=$C36),IF(AND($D36&gt;=G$3,$D36&lt;=G$3+6),2,1),""))</f>
        <v/>
      </c>
      <c r="H36" s="29" t="str">
        <f aca="false">IF(OR($C36="",$D36=""),"",IF(AND(H$3&lt;=$D36,H$3+6&gt;=$C36),IF(AND($D36&gt;=H$3,$D36&lt;=H$3+6),2,1),""))</f>
        <v/>
      </c>
      <c r="I36" s="29" t="str">
        <f aca="false">IF(OR($C36="",$D36=""),"",IF(AND(I$3&lt;=$D36,I$3+6&gt;=$C36),IF(AND($D36&gt;=I$3,$D36&lt;=I$3+6),2,1),""))</f>
        <v/>
      </c>
      <c r="J36" s="29" t="str">
        <f aca="false">IF(OR($C36="",$D36=""),"",IF(AND(J$3&lt;=$D36,J$3+6&gt;=$C36),IF(AND($D36&gt;=J$3,$D36&lt;=J$3+6),2,1),""))</f>
        <v/>
      </c>
      <c r="K36" s="29" t="str">
        <f aca="false">IF(OR($C36="",$D36=""),"",IF(AND(K$3&lt;=$D36,K$3+6&gt;=$C36),IF(AND($D36&gt;=K$3,$D36&lt;=K$3+6),2,1),""))</f>
        <v/>
      </c>
      <c r="L36" s="29" t="str">
        <f aca="false">IF(OR($C36="",$D36=""),"",IF(AND(L$3&lt;=$D36,L$3+6&gt;=$C36),IF(AND($D36&gt;=L$3,$D36&lt;=L$3+6),2,1),""))</f>
        <v/>
      </c>
      <c r="M36" s="29" t="str">
        <f aca="false">IF(OR($C36="",$D36=""),"",IF(AND(M$3&lt;=$D36,M$3+6&gt;=$C36),IF(AND($D36&gt;=M$3,$D36&lt;=M$3+6),2,1),""))</f>
        <v/>
      </c>
      <c r="N36" s="29" t="str">
        <f aca="false">IF(OR($C36="",$D36=""),"",IF(AND(N$3&lt;=$D36,N$3+6&gt;=$C36),IF(AND($D36&gt;=N$3,$D36&lt;=N$3+6),2,1),""))</f>
        <v/>
      </c>
      <c r="O36" s="29" t="n">
        <f aca="false">IF(OR($C36="",$D36=""),"",IF(AND(O$3&lt;=$D36,O$3+6&gt;=$C36),IF(AND($D36&gt;=O$3,$D36&lt;=O$3+6),2,1),""))</f>
        <v>1</v>
      </c>
      <c r="P36" s="29" t="n">
        <f aca="false">IF(OR($C36="",$D36=""),"",IF(AND(P$3&lt;=$D36,P$3+6&gt;=$C36),IF(AND($D36&gt;=P$3,$D36&lt;=P$3+6),2,1),""))</f>
        <v>1</v>
      </c>
      <c r="Q36" s="29" t="n">
        <f aca="false">IF(OR($C36="",$D36=""),"",IF(AND(Q$3&lt;=$D36,Q$3+6&gt;=$C36),IF(AND($D36&gt;=Q$3,$D36&lt;=Q$3+6),2,1),""))</f>
        <v>1</v>
      </c>
      <c r="R36" s="29" t="n">
        <f aca="false">IF(OR($C36="",$D36=""),"",IF(AND(R$3&lt;=$D36,R$3+6&gt;=$C36),IF(AND($D36&gt;=R$3,$D36&lt;=R$3+6),2,1),""))</f>
        <v>1</v>
      </c>
      <c r="S36" s="29" t="n">
        <f aca="false">IF(OR($C36="",$D36=""),"",IF(AND(S$3&lt;=$D36,S$3+6&gt;=$C36),IF(AND($D36&gt;=S$3,$D36&lt;=S$3+6),2,1),""))</f>
        <v>1</v>
      </c>
      <c r="T36" s="29" t="n">
        <f aca="false">IF(OR($C36="",$D36=""),"",IF(AND(T$3&lt;=$D36,T$3+6&gt;=$C36),IF(AND($D36&gt;=T$3,$D36&lt;=T$3+6),2,1),""))</f>
        <v>1</v>
      </c>
      <c r="U36" s="29" t="n">
        <f aca="false">IF(OR($C36="",$D36=""),"",IF(AND(U$3&lt;=$D36,U$3+6&gt;=$C36),IF(AND($D36&gt;=U$3,$D36&lt;=U$3+6),2,1),""))</f>
        <v>1</v>
      </c>
      <c r="V36" s="29" t="n">
        <f aca="false">IF(OR($C36="",$D36=""),"",IF(AND(V$3&lt;=$D36,V$3+6&gt;=$C36),IF(AND($D36&gt;=V$3,$D36&lt;=V$3+6),2,1),""))</f>
        <v>1</v>
      </c>
      <c r="W36" s="29" t="n">
        <f aca="false">IF(OR($C36="",$D36=""),"",IF(AND(W$3&lt;=$D36,W$3+6&gt;=$C36),IF(AND($D36&gt;=W$3,$D36&lt;=W$3+6),2,1),""))</f>
        <v>1</v>
      </c>
      <c r="X36" s="29" t="n">
        <f aca="false">IF(OR($C36="",$D36=""),"",IF(AND(X$3&lt;=$D36,X$3+6&gt;=$C36),IF(AND($D36&gt;=X$3,$D36&lt;=X$3+6),2,1),""))</f>
        <v>1</v>
      </c>
      <c r="Y36" s="29" t="n">
        <f aca="false">IF(OR($C36="",$D36=""),"",IF(AND(Y$3&lt;=$D36,Y$3+6&gt;=$C36),IF(AND($D36&gt;=Y$3,$D36&lt;=Y$3+6),2,1),""))</f>
        <v>1</v>
      </c>
      <c r="Z36" s="29" t="n">
        <f aca="false">IF(OR($C36="",$D36=""),"",IF(AND(Z$3&lt;=$D36,Z$3+6&gt;=$C36),IF(AND($D36&gt;=Z$3,$D36&lt;=Z$3+6),2,1),""))</f>
        <v>2</v>
      </c>
      <c r="AA36" s="29" t="str">
        <f aca="false">IF(OR($C36="",$D36=""),"",IF(AND(AA$3&lt;=$D36,AA$3+6&gt;=$C36),IF(AND($D36&gt;=AA$3,$D36&lt;=AA$3+6),2,1),""))</f>
        <v/>
      </c>
      <c r="AB36" s="29" t="str">
        <f aca="false">IF(OR($C36="",$D36=""),"",IF(AND(AB$3&lt;=$D36,AB$3+6&gt;=$C36),IF(AND($D36&gt;=AB$3,$D36&lt;=AB$3+6),2,1),""))</f>
        <v/>
      </c>
      <c r="AC36" s="29" t="str">
        <f aca="false">IF(OR($C36="",$D36=""),"",IF(AND(AC$3&lt;=$D36,AC$3+6&gt;=$C36),IF(AND($D36&gt;=AC$3,$D36&lt;=AC$3+6),2,1),""))</f>
        <v/>
      </c>
      <c r="AD36" s="29" t="str">
        <f aca="false">IF(OR($C36="",$D36=""),"",IF(AND(AD$3&lt;=$D36,AD$3+6&gt;=$C36),IF(AND($D36&gt;=AD$3,$D36&lt;=AD$3+6),2,1),""))</f>
        <v/>
      </c>
      <c r="AE36" s="29" t="str">
        <f aca="false">IF(OR($C36="",$D36=""),"",IF(AND(AE$3&lt;=$D36,AE$3+6&gt;=$C36),IF(AND($D36&gt;=AE$3,$D36&lt;=AE$3+6),2,1),""))</f>
        <v/>
      </c>
      <c r="AF36" s="29" t="str">
        <f aca="false">IF(OR($C36="",$D36=""),"",IF(AND(AF$3&lt;=$D36,AF$3+6&gt;=$C36),IF(AND($D36&gt;=AF$3,$D36&lt;=AF$3+6),2,1),""))</f>
        <v/>
      </c>
      <c r="AG36" s="29" t="str">
        <f aca="false">IF(OR($C36="",$D36=""),"",IF(AND(AG$3&lt;=$D36,AG$3+6&gt;=$C36),IF(AND($D36&gt;=AG$3,$D36&lt;=AG$3+6),2,1),""))</f>
        <v/>
      </c>
      <c r="AH36" s="29" t="str">
        <f aca="false">IF(OR($C36="",$D36=""),"",IF(AND(AH$3&lt;=$D36,AH$3+6&gt;=$C36),IF(AND($D36&gt;=AH$3,$D36&lt;=AH$3+6),2,1),""))</f>
        <v/>
      </c>
      <c r="AI36" s="29" t="str">
        <f aca="false">IF(OR($C36="",$D36=""),"",IF(AND(AI$3&lt;=$D36,AI$3+6&gt;=$C36),IF(AND($D36&gt;=AI$3,$D36&lt;=AI$3+6),2,1),""))</f>
        <v/>
      </c>
      <c r="AJ36" s="29" t="str">
        <f aca="false">IF(OR($C36="",$D36=""),"",IF(AND(AJ$3&lt;=$D36,AJ$3+6&gt;=$C36),IF(AND($D36&gt;=AJ$3,$D36&lt;=AJ$3+6),2,1),""))</f>
        <v/>
      </c>
      <c r="AK36" s="29" t="str">
        <f aca="false">IF(OR($C36="",$D36=""),"",IF(AND(AK$3&lt;=$D36,AK$3+6&gt;=$C36),IF(AND($D36&gt;=AK$3,$D36&lt;=AK$3+6),2,1),""))</f>
        <v/>
      </c>
      <c r="AL36" s="29" t="str">
        <f aca="false">IF(OR($C36="",$D36=""),"",IF(AND(AL$3&lt;=$D36,AL$3+6&gt;=$C36),IF(AND($D36&gt;=AL$3,$D36&lt;=AL$3+6),2,1),""))</f>
        <v/>
      </c>
      <c r="AM36" s="29" t="str">
        <f aca="false">IF(OR($C36="",$D36=""),"",IF(AND(AM$3&lt;=$D36,AM$3+6&gt;=$C36),IF(AND($D36&gt;=AM$3,$D36&lt;=AM$3+6),2,1),""))</f>
        <v/>
      </c>
      <c r="AN36" s="29" t="str">
        <f aca="false">IF(OR($C36="",$D36=""),"",IF(AND(AN$3&lt;=$D36,AN$3+6&gt;=$C36),IF(AND($D36&gt;=AN$3,$D36&lt;=AN$3+6),2,1),""))</f>
        <v/>
      </c>
      <c r="AO36" s="29" t="str">
        <f aca="false">IF(OR($C36="",$D36=""),"",IF(AND(AO$3&lt;=$D36,AO$3+6&gt;=$C36),IF(AND($D36&gt;=AO$3,$D36&lt;=AO$3+6),2,1),""))</f>
        <v/>
      </c>
      <c r="AP36" s="29" t="str">
        <f aca="false">IF(OR($C36="",$D36=""),"",IF(AND(AP$3&lt;=$D36,AP$3+6&gt;=$C36),IF(AND($D36&gt;=AP$3,$D36&lt;=AP$3+6),2,1),""))</f>
        <v/>
      </c>
      <c r="AQ36" s="29" t="str">
        <f aca="false">IF(OR($C36="",$D36=""),"",IF(AND(AQ$3&lt;=$D36,AQ$3+6&gt;=$C36),IF(AND($D36&gt;=AQ$3,$D36&lt;=AQ$3+6),2,1),""))</f>
        <v/>
      </c>
      <c r="AR36" s="29" t="str">
        <f aca="false">IF(OR($C36="",$D36=""),"",IF(AND(AR$3&lt;=$D36,AR$3+6&gt;=$C36),IF(AND($D36&gt;=AR$3,$D36&lt;=AR$3+6),2,1),""))</f>
        <v/>
      </c>
      <c r="AS36" s="29" t="str">
        <f aca="false">IF(OR($C36="",$D36=""),"",IF(AND(AS$3&lt;=$D36,AS$3+6&gt;=$C36),IF(AND($D36&gt;=AS$3,$D36&lt;=AS$3+6),2,1),""))</f>
        <v/>
      </c>
      <c r="AT36" s="29" t="str">
        <f aca="false">IF(OR($C36="",$D36=""),"",IF(AND(AT$3&lt;=$D36,AT$3+6&gt;=$C36),IF(AND($D36&gt;=AT$3,$D36&lt;=AT$3+6),2,1),""))</f>
        <v/>
      </c>
      <c r="AU36" s="29" t="str">
        <f aca="false">IF(OR($C36="",$D36=""),"",IF(AND(AU$3&lt;=$D36,AU$3+6&gt;=$C36),IF(AND($D36&gt;=AU$3,$D36&lt;=AU$3+6),2,1),""))</f>
        <v/>
      </c>
      <c r="AV36" s="29" t="str">
        <f aca="false">IF(OR($C36="",$D36=""),"",IF(AND(AV$3&lt;=$D36,AV$3+6&gt;=$C36),IF(AND($D36&gt;=AV$3,$D36&lt;=AV$3+6),2,1),""))</f>
        <v/>
      </c>
      <c r="AW36" s="29" t="str">
        <f aca="false">IF(OR($C36="",$D36=""),"",IF(AND(AW$3&lt;=$D36,AW$3+6&gt;=$C36),IF(AND($D36&gt;=AW$3,$D36&lt;=AW$3+6),2,1),""))</f>
        <v/>
      </c>
      <c r="AX36" s="29" t="str">
        <f aca="false">IF(OR($C36="",$D36=""),"",IF(AND(AX$3&lt;=$D36,AX$3+6&gt;=$C36),IF(AND($D36&gt;=AX$3,$D36&lt;=AX$3+6),2,1),""))</f>
        <v/>
      </c>
      <c r="AY36" s="29" t="str">
        <f aca="false">IF(OR($C36="",$D36=""),"",IF(AND(AY$3&lt;=$D36,AY$3+6&gt;=$C36),IF(AND($D36&gt;=AY$3,$D36&lt;=AY$3+6),2,1),""))</f>
        <v/>
      </c>
      <c r="AZ36" s="29" t="str">
        <f aca="false">IF(OR($C36="",$D36=""),"",IF(AND(AZ$3&lt;=$D36,AZ$3+6&gt;=$C36),IF(AND($D36&gt;=AZ$3,$D36&lt;=AZ$3+6),2,1),""))</f>
        <v/>
      </c>
      <c r="BA36" s="29" t="str">
        <f aca="false">IF(OR($C36="",$D36=""),"",IF(AND(BA$3&lt;=$D36,BA$3+6&gt;=$C36),IF(AND($D36&gt;=BA$3,$D36&lt;=BA$3+6),2,1),""))</f>
        <v/>
      </c>
      <c r="BB36" s="29" t="str">
        <f aca="false">IF(OR($C36="",$D36=""),"",IF(AND(BB$3&lt;=$D36,BB$3+6&gt;=$C36),IF(AND($D36&gt;=BB$3,$D36&lt;=BB$3+6),2,1),""))</f>
        <v/>
      </c>
      <c r="BC36" s="29" t="str">
        <f aca="false">IF(OR($C36="",$D36=""),"",IF(AND(BC$3&lt;=$D36,BC$3+6&gt;=$C36),IF(AND($D36&gt;=BC$3,$D36&lt;=BC$3+6),2,1),""))</f>
        <v/>
      </c>
      <c r="BD36" s="29" t="str">
        <f aca="false">IF(OR($C36="",$D36=""),"",IF(AND(BD$3&lt;=$D36,BD$3+6&gt;=$C36),IF(AND($D36&gt;=BD$3,$D36&lt;=BD$3+6),2,1),""))</f>
        <v/>
      </c>
      <c r="BE36" s="29" t="str">
        <f aca="false">IF(OR($C36="",$D36=""),"",IF(AND(BE$3&lt;=$D36,BE$3+6&gt;=$C36),IF(AND($D36&gt;=BE$3,$D36&lt;=BE$3+6),2,1),""))</f>
        <v/>
      </c>
      <c r="BF36" s="29" t="str">
        <f aca="false">IF(OR($C36="",$D36=""),"",IF(AND(BF$3&lt;=$D36,BF$3+6&gt;=$C36),IF(AND($D36&gt;=BF$3,$D36&lt;=BF$3+6),2,1),""))</f>
        <v/>
      </c>
    </row>
    <row r="37" customFormat="false" ht="15" hidden="false" customHeight="true" outlineLevel="0" collapsed="false">
      <c r="A37" s="16" t="s">
        <v>265</v>
      </c>
      <c r="B37" s="27" t="str">
        <f aca="false">IFERROR(INDEX(Plan!$C$2:$C$400,MATCH($A37,Plan!$A$2:$A$400,0)),"")</f>
        <v>Pilot readout</v>
      </c>
      <c r="C37" s="28" t="n">
        <f aca="false">IFERROR(INDEX(Plan!$I$2:$I$400,MATCH($A37,Plan!$A$2:$A$400,0)),"")</f>
        <v>46321</v>
      </c>
      <c r="D37" s="28" t="n">
        <f aca="false">IFERROR(INDEX(Plan!$J$2:$J$400,MATCH($A37,Plan!$A$2:$A$400,0)),"")</f>
        <v>46332</v>
      </c>
      <c r="E37" s="29" t="n">
        <f aca="false">IF(OR($C37="",$D37=""),"",IF(AND(E$3&lt;=$D37,E$3+6&gt;=$C37),IF(AND($D37&gt;=E$3,$D37&lt;=E$3+6),2,1),""))</f>
        <v>1</v>
      </c>
      <c r="F37" s="29" t="n">
        <f aca="false">IF(OR($C37="",$D37=""),"",IF(AND(F$3&lt;=$D37,F$3+6&gt;=$C37),IF(AND($D37&gt;=F$3,$D37&lt;=F$3+6),2,1),""))</f>
        <v>2</v>
      </c>
      <c r="G37" s="29" t="str">
        <f aca="false">IF(OR($C37="",$D37=""),"",IF(AND(G$3&lt;=$D37,G$3+6&gt;=$C37),IF(AND($D37&gt;=G$3,$D37&lt;=G$3+6),2,1),""))</f>
        <v/>
      </c>
      <c r="H37" s="29" t="str">
        <f aca="false">IF(OR($C37="",$D37=""),"",IF(AND(H$3&lt;=$D37,H$3+6&gt;=$C37),IF(AND($D37&gt;=H$3,$D37&lt;=H$3+6),2,1),""))</f>
        <v/>
      </c>
      <c r="I37" s="29" t="str">
        <f aca="false">IF(OR($C37="",$D37=""),"",IF(AND(I$3&lt;=$D37,I$3+6&gt;=$C37),IF(AND($D37&gt;=I$3,$D37&lt;=I$3+6),2,1),""))</f>
        <v/>
      </c>
      <c r="J37" s="29" t="str">
        <f aca="false">IF(OR($C37="",$D37=""),"",IF(AND(J$3&lt;=$D37,J$3+6&gt;=$C37),IF(AND($D37&gt;=J$3,$D37&lt;=J$3+6),2,1),""))</f>
        <v/>
      </c>
      <c r="K37" s="29" t="str">
        <f aca="false">IF(OR($C37="",$D37=""),"",IF(AND(K$3&lt;=$D37,K$3+6&gt;=$C37),IF(AND($D37&gt;=K$3,$D37&lt;=K$3+6),2,1),""))</f>
        <v/>
      </c>
      <c r="L37" s="29" t="str">
        <f aca="false">IF(OR($C37="",$D37=""),"",IF(AND(L$3&lt;=$D37,L$3+6&gt;=$C37),IF(AND($D37&gt;=L$3,$D37&lt;=L$3+6),2,1),""))</f>
        <v/>
      </c>
      <c r="M37" s="29" t="str">
        <f aca="false">IF(OR($C37="",$D37=""),"",IF(AND(M$3&lt;=$D37,M$3+6&gt;=$C37),IF(AND($D37&gt;=M$3,$D37&lt;=M$3+6),2,1),""))</f>
        <v/>
      </c>
      <c r="N37" s="29" t="str">
        <f aca="false">IF(OR($C37="",$D37=""),"",IF(AND(N$3&lt;=$D37,N$3+6&gt;=$C37),IF(AND($D37&gt;=N$3,$D37&lt;=N$3+6),2,1),""))</f>
        <v/>
      </c>
      <c r="O37" s="29" t="str">
        <f aca="false">IF(OR($C37="",$D37=""),"",IF(AND(O$3&lt;=$D37,O$3+6&gt;=$C37),IF(AND($D37&gt;=O$3,$D37&lt;=O$3+6),2,1),""))</f>
        <v/>
      </c>
      <c r="P37" s="29" t="str">
        <f aca="false">IF(OR($C37="",$D37=""),"",IF(AND(P$3&lt;=$D37,P$3+6&gt;=$C37),IF(AND($D37&gt;=P$3,$D37&lt;=P$3+6),2,1),""))</f>
        <v/>
      </c>
      <c r="Q37" s="29" t="str">
        <f aca="false">IF(OR($C37="",$D37=""),"",IF(AND(Q$3&lt;=$D37,Q$3+6&gt;=$C37),IF(AND($D37&gt;=Q$3,$D37&lt;=Q$3+6),2,1),""))</f>
        <v/>
      </c>
      <c r="R37" s="29" t="str">
        <f aca="false">IF(OR($C37="",$D37=""),"",IF(AND(R$3&lt;=$D37,R$3+6&gt;=$C37),IF(AND($D37&gt;=R$3,$D37&lt;=R$3+6),2,1),""))</f>
        <v/>
      </c>
      <c r="S37" s="29" t="str">
        <f aca="false">IF(OR($C37="",$D37=""),"",IF(AND(S$3&lt;=$D37,S$3+6&gt;=$C37),IF(AND($D37&gt;=S$3,$D37&lt;=S$3+6),2,1),""))</f>
        <v/>
      </c>
      <c r="T37" s="29" t="str">
        <f aca="false">IF(OR($C37="",$D37=""),"",IF(AND(T$3&lt;=$D37,T$3+6&gt;=$C37),IF(AND($D37&gt;=T$3,$D37&lt;=T$3+6),2,1),""))</f>
        <v/>
      </c>
      <c r="U37" s="29" t="str">
        <f aca="false">IF(OR($C37="",$D37=""),"",IF(AND(U$3&lt;=$D37,U$3+6&gt;=$C37),IF(AND($D37&gt;=U$3,$D37&lt;=U$3+6),2,1),""))</f>
        <v/>
      </c>
      <c r="V37" s="29" t="str">
        <f aca="false">IF(OR($C37="",$D37=""),"",IF(AND(V$3&lt;=$D37,V$3+6&gt;=$C37),IF(AND($D37&gt;=V$3,$D37&lt;=V$3+6),2,1),""))</f>
        <v/>
      </c>
      <c r="W37" s="29" t="str">
        <f aca="false">IF(OR($C37="",$D37=""),"",IF(AND(W$3&lt;=$D37,W$3+6&gt;=$C37),IF(AND($D37&gt;=W$3,$D37&lt;=W$3+6),2,1),""))</f>
        <v/>
      </c>
      <c r="X37" s="29" t="str">
        <f aca="false">IF(OR($C37="",$D37=""),"",IF(AND(X$3&lt;=$D37,X$3+6&gt;=$C37),IF(AND($D37&gt;=X$3,$D37&lt;=X$3+6),2,1),""))</f>
        <v/>
      </c>
      <c r="Y37" s="29" t="str">
        <f aca="false">IF(OR($C37="",$D37=""),"",IF(AND(Y$3&lt;=$D37,Y$3+6&gt;=$C37),IF(AND($D37&gt;=Y$3,$D37&lt;=Y$3+6),2,1),""))</f>
        <v/>
      </c>
      <c r="Z37" s="29" t="str">
        <f aca="false">IF(OR($C37="",$D37=""),"",IF(AND(Z$3&lt;=$D37,Z$3+6&gt;=$C37),IF(AND($D37&gt;=Z$3,$D37&lt;=Z$3+6),2,1),""))</f>
        <v/>
      </c>
      <c r="AA37" s="29" t="str">
        <f aca="false">IF(OR($C37="",$D37=""),"",IF(AND(AA$3&lt;=$D37,AA$3+6&gt;=$C37),IF(AND($D37&gt;=AA$3,$D37&lt;=AA$3+6),2,1),""))</f>
        <v/>
      </c>
      <c r="AB37" s="29" t="str">
        <f aca="false">IF(OR($C37="",$D37=""),"",IF(AND(AB$3&lt;=$D37,AB$3+6&gt;=$C37),IF(AND($D37&gt;=AB$3,$D37&lt;=AB$3+6),2,1),""))</f>
        <v/>
      </c>
      <c r="AC37" s="29" t="str">
        <f aca="false">IF(OR($C37="",$D37=""),"",IF(AND(AC$3&lt;=$D37,AC$3+6&gt;=$C37),IF(AND($D37&gt;=AC$3,$D37&lt;=AC$3+6),2,1),""))</f>
        <v/>
      </c>
      <c r="AD37" s="29" t="str">
        <f aca="false">IF(OR($C37="",$D37=""),"",IF(AND(AD$3&lt;=$D37,AD$3+6&gt;=$C37),IF(AND($D37&gt;=AD$3,$D37&lt;=AD$3+6),2,1),""))</f>
        <v/>
      </c>
      <c r="AE37" s="29" t="str">
        <f aca="false">IF(OR($C37="",$D37=""),"",IF(AND(AE$3&lt;=$D37,AE$3+6&gt;=$C37),IF(AND($D37&gt;=AE$3,$D37&lt;=AE$3+6),2,1),""))</f>
        <v/>
      </c>
      <c r="AF37" s="29" t="str">
        <f aca="false">IF(OR($C37="",$D37=""),"",IF(AND(AF$3&lt;=$D37,AF$3+6&gt;=$C37),IF(AND($D37&gt;=AF$3,$D37&lt;=AF$3+6),2,1),""))</f>
        <v/>
      </c>
      <c r="AG37" s="29" t="str">
        <f aca="false">IF(OR($C37="",$D37=""),"",IF(AND(AG$3&lt;=$D37,AG$3+6&gt;=$C37),IF(AND($D37&gt;=AG$3,$D37&lt;=AG$3+6),2,1),""))</f>
        <v/>
      </c>
      <c r="AH37" s="29" t="str">
        <f aca="false">IF(OR($C37="",$D37=""),"",IF(AND(AH$3&lt;=$D37,AH$3+6&gt;=$C37),IF(AND($D37&gt;=AH$3,$D37&lt;=AH$3+6),2,1),""))</f>
        <v/>
      </c>
      <c r="AI37" s="29" t="str">
        <f aca="false">IF(OR($C37="",$D37=""),"",IF(AND(AI$3&lt;=$D37,AI$3+6&gt;=$C37),IF(AND($D37&gt;=AI$3,$D37&lt;=AI$3+6),2,1),""))</f>
        <v/>
      </c>
      <c r="AJ37" s="29" t="str">
        <f aca="false">IF(OR($C37="",$D37=""),"",IF(AND(AJ$3&lt;=$D37,AJ$3+6&gt;=$C37),IF(AND($D37&gt;=AJ$3,$D37&lt;=AJ$3+6),2,1),""))</f>
        <v/>
      </c>
      <c r="AK37" s="29" t="str">
        <f aca="false">IF(OR($C37="",$D37=""),"",IF(AND(AK$3&lt;=$D37,AK$3+6&gt;=$C37),IF(AND($D37&gt;=AK$3,$D37&lt;=AK$3+6),2,1),""))</f>
        <v/>
      </c>
      <c r="AL37" s="29" t="str">
        <f aca="false">IF(OR($C37="",$D37=""),"",IF(AND(AL$3&lt;=$D37,AL$3+6&gt;=$C37),IF(AND($D37&gt;=AL$3,$D37&lt;=AL$3+6),2,1),""))</f>
        <v/>
      </c>
      <c r="AM37" s="29" t="str">
        <f aca="false">IF(OR($C37="",$D37=""),"",IF(AND(AM$3&lt;=$D37,AM$3+6&gt;=$C37),IF(AND($D37&gt;=AM$3,$D37&lt;=AM$3+6),2,1),""))</f>
        <v/>
      </c>
      <c r="AN37" s="29" t="str">
        <f aca="false">IF(OR($C37="",$D37=""),"",IF(AND(AN$3&lt;=$D37,AN$3+6&gt;=$C37),IF(AND($D37&gt;=AN$3,$D37&lt;=AN$3+6),2,1),""))</f>
        <v/>
      </c>
      <c r="AO37" s="29" t="str">
        <f aca="false">IF(OR($C37="",$D37=""),"",IF(AND(AO$3&lt;=$D37,AO$3+6&gt;=$C37),IF(AND($D37&gt;=AO$3,$D37&lt;=AO$3+6),2,1),""))</f>
        <v/>
      </c>
      <c r="AP37" s="29" t="str">
        <f aca="false">IF(OR($C37="",$D37=""),"",IF(AND(AP$3&lt;=$D37,AP$3+6&gt;=$C37),IF(AND($D37&gt;=AP$3,$D37&lt;=AP$3+6),2,1),""))</f>
        <v/>
      </c>
      <c r="AQ37" s="29" t="str">
        <f aca="false">IF(OR($C37="",$D37=""),"",IF(AND(AQ$3&lt;=$D37,AQ$3+6&gt;=$C37),IF(AND($D37&gt;=AQ$3,$D37&lt;=AQ$3+6),2,1),""))</f>
        <v/>
      </c>
      <c r="AR37" s="29" t="str">
        <f aca="false">IF(OR($C37="",$D37=""),"",IF(AND(AR$3&lt;=$D37,AR$3+6&gt;=$C37),IF(AND($D37&gt;=AR$3,$D37&lt;=AR$3+6),2,1),""))</f>
        <v/>
      </c>
      <c r="AS37" s="29" t="str">
        <f aca="false">IF(OR($C37="",$D37=""),"",IF(AND(AS$3&lt;=$D37,AS$3+6&gt;=$C37),IF(AND($D37&gt;=AS$3,$D37&lt;=AS$3+6),2,1),""))</f>
        <v/>
      </c>
      <c r="AT37" s="29" t="str">
        <f aca="false">IF(OR($C37="",$D37=""),"",IF(AND(AT$3&lt;=$D37,AT$3+6&gt;=$C37),IF(AND($D37&gt;=AT$3,$D37&lt;=AT$3+6),2,1),""))</f>
        <v/>
      </c>
      <c r="AU37" s="29" t="str">
        <f aca="false">IF(OR($C37="",$D37=""),"",IF(AND(AU$3&lt;=$D37,AU$3+6&gt;=$C37),IF(AND($D37&gt;=AU$3,$D37&lt;=AU$3+6),2,1),""))</f>
        <v/>
      </c>
      <c r="AV37" s="29" t="str">
        <f aca="false">IF(OR($C37="",$D37=""),"",IF(AND(AV$3&lt;=$D37,AV$3+6&gt;=$C37),IF(AND($D37&gt;=AV$3,$D37&lt;=AV$3+6),2,1),""))</f>
        <v/>
      </c>
      <c r="AW37" s="29" t="str">
        <f aca="false">IF(OR($C37="",$D37=""),"",IF(AND(AW$3&lt;=$D37,AW$3+6&gt;=$C37),IF(AND($D37&gt;=AW$3,$D37&lt;=AW$3+6),2,1),""))</f>
        <v/>
      </c>
      <c r="AX37" s="29" t="str">
        <f aca="false">IF(OR($C37="",$D37=""),"",IF(AND(AX$3&lt;=$D37,AX$3+6&gt;=$C37),IF(AND($D37&gt;=AX$3,$D37&lt;=AX$3+6),2,1),""))</f>
        <v/>
      </c>
      <c r="AY37" s="29" t="str">
        <f aca="false">IF(OR($C37="",$D37=""),"",IF(AND(AY$3&lt;=$D37,AY$3+6&gt;=$C37),IF(AND($D37&gt;=AY$3,$D37&lt;=AY$3+6),2,1),""))</f>
        <v/>
      </c>
      <c r="AZ37" s="29" t="str">
        <f aca="false">IF(OR($C37="",$D37=""),"",IF(AND(AZ$3&lt;=$D37,AZ$3+6&gt;=$C37),IF(AND($D37&gt;=AZ$3,$D37&lt;=AZ$3+6),2,1),""))</f>
        <v/>
      </c>
      <c r="BA37" s="29" t="str">
        <f aca="false">IF(OR($C37="",$D37=""),"",IF(AND(BA$3&lt;=$D37,BA$3+6&gt;=$C37),IF(AND($D37&gt;=BA$3,$D37&lt;=BA$3+6),2,1),""))</f>
        <v/>
      </c>
      <c r="BB37" s="29" t="str">
        <f aca="false">IF(OR($C37="",$D37=""),"",IF(AND(BB$3&lt;=$D37,BB$3+6&gt;=$C37),IF(AND($D37&gt;=BB$3,$D37&lt;=BB$3+6),2,1),""))</f>
        <v/>
      </c>
      <c r="BC37" s="29" t="str">
        <f aca="false">IF(OR($C37="",$D37=""),"",IF(AND(BC$3&lt;=$D37,BC$3+6&gt;=$C37),IF(AND($D37&gt;=BC$3,$D37&lt;=BC$3+6),2,1),""))</f>
        <v/>
      </c>
      <c r="BD37" s="29" t="str">
        <f aca="false">IF(OR($C37="",$D37=""),"",IF(AND(BD$3&lt;=$D37,BD$3+6&gt;=$C37),IF(AND($D37&gt;=BD$3,$D37&lt;=BD$3+6),2,1),""))</f>
        <v/>
      </c>
      <c r="BE37" s="29" t="str">
        <f aca="false">IF(OR($C37="",$D37=""),"",IF(AND(BE$3&lt;=$D37,BE$3+6&gt;=$C37),IF(AND($D37&gt;=BE$3,$D37&lt;=BE$3+6),2,1),""))</f>
        <v/>
      </c>
      <c r="BF37" s="29" t="str">
        <f aca="false">IF(OR($C37="",$D37=""),"",IF(AND(BF$3&lt;=$D37,BF$3+6&gt;=$C37),IF(AND($D37&gt;=BF$3,$D37&lt;=BF$3+6),2,1),""))</f>
        <v/>
      </c>
    </row>
    <row r="38" customFormat="false" ht="15" hidden="false" customHeight="true" outlineLevel="0" collapsed="false">
      <c r="A38" s="16" t="s">
        <v>272</v>
      </c>
      <c r="B38" s="27" t="str">
        <f aca="false">IFERROR(INDEX(Plan!$C$2:$C$400,MATCH($A38,Plan!$A$2:$A$400,0)),"")</f>
        <v>Standard workflow v1 with phase gates</v>
      </c>
      <c r="C38" s="28" t="n">
        <f aca="false">IFERROR(INDEX(Plan!$I$2:$I$400,MATCH($A38,Plan!$A$2:$A$400,0)),"")</f>
        <v>46328</v>
      </c>
      <c r="D38" s="28" t="n">
        <f aca="false">IFERROR(INDEX(Plan!$J$2:$J$400,MATCH($A38,Plan!$A$2:$A$400,0)),"")</f>
        <v>46346</v>
      </c>
      <c r="E38" s="29" t="str">
        <f aca="false">IF(OR($C38="",$D38=""),"",IF(AND(E$3&lt;=$D38,E$3+6&gt;=$C38),IF(AND($D38&gt;=E$3,$D38&lt;=E$3+6),2,1),""))</f>
        <v/>
      </c>
      <c r="F38" s="29" t="n">
        <f aca="false">IF(OR($C38="",$D38=""),"",IF(AND(F$3&lt;=$D38,F$3+6&gt;=$C38),IF(AND($D38&gt;=F$3,$D38&lt;=F$3+6),2,1),""))</f>
        <v>1</v>
      </c>
      <c r="G38" s="29" t="n">
        <f aca="false">IF(OR($C38="",$D38=""),"",IF(AND(G$3&lt;=$D38,G$3+6&gt;=$C38),IF(AND($D38&gt;=G$3,$D38&lt;=G$3+6),2,1),""))</f>
        <v>1</v>
      </c>
      <c r="H38" s="29" t="n">
        <f aca="false">IF(OR($C38="",$D38=""),"",IF(AND(H$3&lt;=$D38,H$3+6&gt;=$C38),IF(AND($D38&gt;=H$3,$D38&lt;=H$3+6),2,1),""))</f>
        <v>2</v>
      </c>
      <c r="I38" s="29" t="str">
        <f aca="false">IF(OR($C38="",$D38=""),"",IF(AND(I$3&lt;=$D38,I$3+6&gt;=$C38),IF(AND($D38&gt;=I$3,$D38&lt;=I$3+6),2,1),""))</f>
        <v/>
      </c>
      <c r="J38" s="29" t="str">
        <f aca="false">IF(OR($C38="",$D38=""),"",IF(AND(J$3&lt;=$D38,J$3+6&gt;=$C38),IF(AND($D38&gt;=J$3,$D38&lt;=J$3+6),2,1),""))</f>
        <v/>
      </c>
      <c r="K38" s="29" t="str">
        <f aca="false">IF(OR($C38="",$D38=""),"",IF(AND(K$3&lt;=$D38,K$3+6&gt;=$C38),IF(AND($D38&gt;=K$3,$D38&lt;=K$3+6),2,1),""))</f>
        <v/>
      </c>
      <c r="L38" s="29" t="str">
        <f aca="false">IF(OR($C38="",$D38=""),"",IF(AND(L$3&lt;=$D38,L$3+6&gt;=$C38),IF(AND($D38&gt;=L$3,$D38&lt;=L$3+6),2,1),""))</f>
        <v/>
      </c>
      <c r="M38" s="29" t="str">
        <f aca="false">IF(OR($C38="",$D38=""),"",IF(AND(M$3&lt;=$D38,M$3+6&gt;=$C38),IF(AND($D38&gt;=M$3,$D38&lt;=M$3+6),2,1),""))</f>
        <v/>
      </c>
      <c r="N38" s="29" t="str">
        <f aca="false">IF(OR($C38="",$D38=""),"",IF(AND(N$3&lt;=$D38,N$3+6&gt;=$C38),IF(AND($D38&gt;=N$3,$D38&lt;=N$3+6),2,1),""))</f>
        <v/>
      </c>
      <c r="O38" s="29" t="str">
        <f aca="false">IF(OR($C38="",$D38=""),"",IF(AND(O$3&lt;=$D38,O$3+6&gt;=$C38),IF(AND($D38&gt;=O$3,$D38&lt;=O$3+6),2,1),""))</f>
        <v/>
      </c>
      <c r="P38" s="29" t="str">
        <f aca="false">IF(OR($C38="",$D38=""),"",IF(AND(P$3&lt;=$D38,P$3+6&gt;=$C38),IF(AND($D38&gt;=P$3,$D38&lt;=P$3+6),2,1),""))</f>
        <v/>
      </c>
      <c r="Q38" s="29" t="str">
        <f aca="false">IF(OR($C38="",$D38=""),"",IF(AND(Q$3&lt;=$D38,Q$3+6&gt;=$C38),IF(AND($D38&gt;=Q$3,$D38&lt;=Q$3+6),2,1),""))</f>
        <v/>
      </c>
      <c r="R38" s="29" t="str">
        <f aca="false">IF(OR($C38="",$D38=""),"",IF(AND(R$3&lt;=$D38,R$3+6&gt;=$C38),IF(AND($D38&gt;=R$3,$D38&lt;=R$3+6),2,1),""))</f>
        <v/>
      </c>
      <c r="S38" s="29" t="str">
        <f aca="false">IF(OR($C38="",$D38=""),"",IF(AND(S$3&lt;=$D38,S$3+6&gt;=$C38),IF(AND($D38&gt;=S$3,$D38&lt;=S$3+6),2,1),""))</f>
        <v/>
      </c>
      <c r="T38" s="29" t="str">
        <f aca="false">IF(OR($C38="",$D38=""),"",IF(AND(T$3&lt;=$D38,T$3+6&gt;=$C38),IF(AND($D38&gt;=T$3,$D38&lt;=T$3+6),2,1),""))</f>
        <v/>
      </c>
      <c r="U38" s="29" t="str">
        <f aca="false">IF(OR($C38="",$D38=""),"",IF(AND(U$3&lt;=$D38,U$3+6&gt;=$C38),IF(AND($D38&gt;=U$3,$D38&lt;=U$3+6),2,1),""))</f>
        <v/>
      </c>
      <c r="V38" s="29" t="str">
        <f aca="false">IF(OR($C38="",$D38=""),"",IF(AND(V$3&lt;=$D38,V$3+6&gt;=$C38),IF(AND($D38&gt;=V$3,$D38&lt;=V$3+6),2,1),""))</f>
        <v/>
      </c>
      <c r="W38" s="29" t="str">
        <f aca="false">IF(OR($C38="",$D38=""),"",IF(AND(W$3&lt;=$D38,W$3+6&gt;=$C38),IF(AND($D38&gt;=W$3,$D38&lt;=W$3+6),2,1),""))</f>
        <v/>
      </c>
      <c r="X38" s="29" t="str">
        <f aca="false">IF(OR($C38="",$D38=""),"",IF(AND(X$3&lt;=$D38,X$3+6&gt;=$C38),IF(AND($D38&gt;=X$3,$D38&lt;=X$3+6),2,1),""))</f>
        <v/>
      </c>
      <c r="Y38" s="29" t="str">
        <f aca="false">IF(OR($C38="",$D38=""),"",IF(AND(Y$3&lt;=$D38,Y$3+6&gt;=$C38),IF(AND($D38&gt;=Y$3,$D38&lt;=Y$3+6),2,1),""))</f>
        <v/>
      </c>
      <c r="Z38" s="29" t="str">
        <f aca="false">IF(OR($C38="",$D38=""),"",IF(AND(Z$3&lt;=$D38,Z$3+6&gt;=$C38),IF(AND($D38&gt;=Z$3,$D38&lt;=Z$3+6),2,1),""))</f>
        <v/>
      </c>
      <c r="AA38" s="29" t="str">
        <f aca="false">IF(OR($C38="",$D38=""),"",IF(AND(AA$3&lt;=$D38,AA$3+6&gt;=$C38),IF(AND($D38&gt;=AA$3,$D38&lt;=AA$3+6),2,1),""))</f>
        <v/>
      </c>
      <c r="AB38" s="29" t="str">
        <f aca="false">IF(OR($C38="",$D38=""),"",IF(AND(AB$3&lt;=$D38,AB$3+6&gt;=$C38),IF(AND($D38&gt;=AB$3,$D38&lt;=AB$3+6),2,1),""))</f>
        <v/>
      </c>
      <c r="AC38" s="29" t="str">
        <f aca="false">IF(OR($C38="",$D38=""),"",IF(AND(AC$3&lt;=$D38,AC$3+6&gt;=$C38),IF(AND($D38&gt;=AC$3,$D38&lt;=AC$3+6),2,1),""))</f>
        <v/>
      </c>
      <c r="AD38" s="29" t="str">
        <f aca="false">IF(OR($C38="",$D38=""),"",IF(AND(AD$3&lt;=$D38,AD$3+6&gt;=$C38),IF(AND($D38&gt;=AD$3,$D38&lt;=AD$3+6),2,1),""))</f>
        <v/>
      </c>
      <c r="AE38" s="29" t="str">
        <f aca="false">IF(OR($C38="",$D38=""),"",IF(AND(AE$3&lt;=$D38,AE$3+6&gt;=$C38),IF(AND($D38&gt;=AE$3,$D38&lt;=AE$3+6),2,1),""))</f>
        <v/>
      </c>
      <c r="AF38" s="29" t="str">
        <f aca="false">IF(OR($C38="",$D38=""),"",IF(AND(AF$3&lt;=$D38,AF$3+6&gt;=$C38),IF(AND($D38&gt;=AF$3,$D38&lt;=AF$3+6),2,1),""))</f>
        <v/>
      </c>
      <c r="AG38" s="29" t="str">
        <f aca="false">IF(OR($C38="",$D38=""),"",IF(AND(AG$3&lt;=$D38,AG$3+6&gt;=$C38),IF(AND($D38&gt;=AG$3,$D38&lt;=AG$3+6),2,1),""))</f>
        <v/>
      </c>
      <c r="AH38" s="29" t="str">
        <f aca="false">IF(OR($C38="",$D38=""),"",IF(AND(AH$3&lt;=$D38,AH$3+6&gt;=$C38),IF(AND($D38&gt;=AH$3,$D38&lt;=AH$3+6),2,1),""))</f>
        <v/>
      </c>
      <c r="AI38" s="29" t="str">
        <f aca="false">IF(OR($C38="",$D38=""),"",IF(AND(AI$3&lt;=$D38,AI$3+6&gt;=$C38),IF(AND($D38&gt;=AI$3,$D38&lt;=AI$3+6),2,1),""))</f>
        <v/>
      </c>
      <c r="AJ38" s="29" t="str">
        <f aca="false">IF(OR($C38="",$D38=""),"",IF(AND(AJ$3&lt;=$D38,AJ$3+6&gt;=$C38),IF(AND($D38&gt;=AJ$3,$D38&lt;=AJ$3+6),2,1),""))</f>
        <v/>
      </c>
      <c r="AK38" s="29" t="str">
        <f aca="false">IF(OR($C38="",$D38=""),"",IF(AND(AK$3&lt;=$D38,AK$3+6&gt;=$C38),IF(AND($D38&gt;=AK$3,$D38&lt;=AK$3+6),2,1),""))</f>
        <v/>
      </c>
      <c r="AL38" s="29" t="str">
        <f aca="false">IF(OR($C38="",$D38=""),"",IF(AND(AL$3&lt;=$D38,AL$3+6&gt;=$C38),IF(AND($D38&gt;=AL$3,$D38&lt;=AL$3+6),2,1),""))</f>
        <v/>
      </c>
      <c r="AM38" s="29" t="str">
        <f aca="false">IF(OR($C38="",$D38=""),"",IF(AND(AM$3&lt;=$D38,AM$3+6&gt;=$C38),IF(AND($D38&gt;=AM$3,$D38&lt;=AM$3+6),2,1),""))</f>
        <v/>
      </c>
      <c r="AN38" s="29" t="str">
        <f aca="false">IF(OR($C38="",$D38=""),"",IF(AND(AN$3&lt;=$D38,AN$3+6&gt;=$C38),IF(AND($D38&gt;=AN$3,$D38&lt;=AN$3+6),2,1),""))</f>
        <v/>
      </c>
      <c r="AO38" s="29" t="str">
        <f aca="false">IF(OR($C38="",$D38=""),"",IF(AND(AO$3&lt;=$D38,AO$3+6&gt;=$C38),IF(AND($D38&gt;=AO$3,$D38&lt;=AO$3+6),2,1),""))</f>
        <v/>
      </c>
      <c r="AP38" s="29" t="str">
        <f aca="false">IF(OR($C38="",$D38=""),"",IF(AND(AP$3&lt;=$D38,AP$3+6&gt;=$C38),IF(AND($D38&gt;=AP$3,$D38&lt;=AP$3+6),2,1),""))</f>
        <v/>
      </c>
      <c r="AQ38" s="29" t="str">
        <f aca="false">IF(OR($C38="",$D38=""),"",IF(AND(AQ$3&lt;=$D38,AQ$3+6&gt;=$C38),IF(AND($D38&gt;=AQ$3,$D38&lt;=AQ$3+6),2,1),""))</f>
        <v/>
      </c>
      <c r="AR38" s="29" t="str">
        <f aca="false">IF(OR($C38="",$D38=""),"",IF(AND(AR$3&lt;=$D38,AR$3+6&gt;=$C38),IF(AND($D38&gt;=AR$3,$D38&lt;=AR$3+6),2,1),""))</f>
        <v/>
      </c>
      <c r="AS38" s="29" t="str">
        <f aca="false">IF(OR($C38="",$D38=""),"",IF(AND(AS$3&lt;=$D38,AS$3+6&gt;=$C38),IF(AND($D38&gt;=AS$3,$D38&lt;=AS$3+6),2,1),""))</f>
        <v/>
      </c>
      <c r="AT38" s="29" t="str">
        <f aca="false">IF(OR($C38="",$D38=""),"",IF(AND(AT$3&lt;=$D38,AT$3+6&gt;=$C38),IF(AND($D38&gt;=AT$3,$D38&lt;=AT$3+6),2,1),""))</f>
        <v/>
      </c>
      <c r="AU38" s="29" t="str">
        <f aca="false">IF(OR($C38="",$D38=""),"",IF(AND(AU$3&lt;=$D38,AU$3+6&gt;=$C38),IF(AND($D38&gt;=AU$3,$D38&lt;=AU$3+6),2,1),""))</f>
        <v/>
      </c>
      <c r="AV38" s="29" t="str">
        <f aca="false">IF(OR($C38="",$D38=""),"",IF(AND(AV$3&lt;=$D38,AV$3+6&gt;=$C38),IF(AND($D38&gt;=AV$3,$D38&lt;=AV$3+6),2,1),""))</f>
        <v/>
      </c>
      <c r="AW38" s="29" t="str">
        <f aca="false">IF(OR($C38="",$D38=""),"",IF(AND(AW$3&lt;=$D38,AW$3+6&gt;=$C38),IF(AND($D38&gt;=AW$3,$D38&lt;=AW$3+6),2,1),""))</f>
        <v/>
      </c>
      <c r="AX38" s="29" t="str">
        <f aca="false">IF(OR($C38="",$D38=""),"",IF(AND(AX$3&lt;=$D38,AX$3+6&gt;=$C38),IF(AND($D38&gt;=AX$3,$D38&lt;=AX$3+6),2,1),""))</f>
        <v/>
      </c>
      <c r="AY38" s="29" t="str">
        <f aca="false">IF(OR($C38="",$D38=""),"",IF(AND(AY$3&lt;=$D38,AY$3+6&gt;=$C38),IF(AND($D38&gt;=AY$3,$D38&lt;=AY$3+6),2,1),""))</f>
        <v/>
      </c>
      <c r="AZ38" s="29" t="str">
        <f aca="false">IF(OR($C38="",$D38=""),"",IF(AND(AZ$3&lt;=$D38,AZ$3+6&gt;=$C38),IF(AND($D38&gt;=AZ$3,$D38&lt;=AZ$3+6),2,1),""))</f>
        <v/>
      </c>
      <c r="BA38" s="29" t="str">
        <f aca="false">IF(OR($C38="",$D38=""),"",IF(AND(BA$3&lt;=$D38,BA$3+6&gt;=$C38),IF(AND($D38&gt;=BA$3,$D38&lt;=BA$3+6),2,1),""))</f>
        <v/>
      </c>
      <c r="BB38" s="29" t="str">
        <f aca="false">IF(OR($C38="",$D38=""),"",IF(AND(BB$3&lt;=$D38,BB$3+6&gt;=$C38),IF(AND($D38&gt;=BB$3,$D38&lt;=BB$3+6),2,1),""))</f>
        <v/>
      </c>
      <c r="BC38" s="29" t="str">
        <f aca="false">IF(OR($C38="",$D38=""),"",IF(AND(BC$3&lt;=$D38,BC$3+6&gt;=$C38),IF(AND($D38&gt;=BC$3,$D38&lt;=BC$3+6),2,1),""))</f>
        <v/>
      </c>
      <c r="BD38" s="29" t="str">
        <f aca="false">IF(OR($C38="",$D38=""),"",IF(AND(BD$3&lt;=$D38,BD$3+6&gt;=$C38),IF(AND($D38&gt;=BD$3,$D38&lt;=BD$3+6),2,1),""))</f>
        <v/>
      </c>
      <c r="BE38" s="29" t="str">
        <f aca="false">IF(OR($C38="",$D38=""),"",IF(AND(BE$3&lt;=$D38,BE$3+6&gt;=$C38),IF(AND($D38&gt;=BE$3,$D38&lt;=BE$3+6),2,1),""))</f>
        <v/>
      </c>
      <c r="BF38" s="29" t="str">
        <f aca="false">IF(OR($C38="",$D38=""),"",IF(AND(BF$3&lt;=$D38,BF$3+6&gt;=$C38),IF(AND($D38&gt;=BF$3,$D38&lt;=BF$3+6),2,1),""))</f>
        <v/>
      </c>
    </row>
    <row r="39" customFormat="false" ht="15" hidden="false" customHeight="true" outlineLevel="0" collapsed="false">
      <c r="A39" s="16" t="s">
        <v>279</v>
      </c>
      <c r="B39" s="27" t="str">
        <f aca="false">IFERROR(INDEX(Plan!$C$2:$C$400,MATCH($A39,Plan!$A$2:$A$400,0)),"")</f>
        <v>Pilot team reaches autonomy stage 2</v>
      </c>
      <c r="C39" s="28" t="n">
        <f aca="false">IFERROR(INDEX(Plan!$I$2:$I$400,MATCH($A39,Plan!$A$2:$A$400,0)),"")</f>
        <v>46349</v>
      </c>
      <c r="D39" s="28" t="n">
        <f aca="false">IFERROR(INDEX(Plan!$J$2:$J$400,MATCH($A39,Plan!$A$2:$A$400,0)),"")</f>
        <v>46374</v>
      </c>
      <c r="E39" s="29" t="str">
        <f aca="false">IF(OR($C39="",$D39=""),"",IF(AND(E$3&lt;=$D39,E$3+6&gt;=$C39),IF(AND($D39&gt;=E$3,$D39&lt;=E$3+6),2,1),""))</f>
        <v/>
      </c>
      <c r="F39" s="29" t="str">
        <f aca="false">IF(OR($C39="",$D39=""),"",IF(AND(F$3&lt;=$D39,F$3+6&gt;=$C39),IF(AND($D39&gt;=F$3,$D39&lt;=F$3+6),2,1),""))</f>
        <v/>
      </c>
      <c r="G39" s="29" t="str">
        <f aca="false">IF(OR($C39="",$D39=""),"",IF(AND(G$3&lt;=$D39,G$3+6&gt;=$C39),IF(AND($D39&gt;=G$3,$D39&lt;=G$3+6),2,1),""))</f>
        <v/>
      </c>
      <c r="H39" s="29" t="str">
        <f aca="false">IF(OR($C39="",$D39=""),"",IF(AND(H$3&lt;=$D39,H$3+6&gt;=$C39),IF(AND($D39&gt;=H$3,$D39&lt;=H$3+6),2,1),""))</f>
        <v/>
      </c>
      <c r="I39" s="29" t="n">
        <f aca="false">IF(OR($C39="",$D39=""),"",IF(AND(I$3&lt;=$D39,I$3+6&gt;=$C39),IF(AND($D39&gt;=I$3,$D39&lt;=I$3+6),2,1),""))</f>
        <v>1</v>
      </c>
      <c r="J39" s="29" t="n">
        <f aca="false">IF(OR($C39="",$D39=""),"",IF(AND(J$3&lt;=$D39,J$3+6&gt;=$C39),IF(AND($D39&gt;=J$3,$D39&lt;=J$3+6),2,1),""))</f>
        <v>1</v>
      </c>
      <c r="K39" s="29" t="n">
        <f aca="false">IF(OR($C39="",$D39=""),"",IF(AND(K$3&lt;=$D39,K$3+6&gt;=$C39),IF(AND($D39&gt;=K$3,$D39&lt;=K$3+6),2,1),""))</f>
        <v>1</v>
      </c>
      <c r="L39" s="29" t="n">
        <f aca="false">IF(OR($C39="",$D39=""),"",IF(AND(L$3&lt;=$D39,L$3+6&gt;=$C39),IF(AND($D39&gt;=L$3,$D39&lt;=L$3+6),2,1),""))</f>
        <v>2</v>
      </c>
      <c r="M39" s="29" t="str">
        <f aca="false">IF(OR($C39="",$D39=""),"",IF(AND(M$3&lt;=$D39,M$3+6&gt;=$C39),IF(AND($D39&gt;=M$3,$D39&lt;=M$3+6),2,1),""))</f>
        <v/>
      </c>
      <c r="N39" s="29" t="str">
        <f aca="false">IF(OR($C39="",$D39=""),"",IF(AND(N$3&lt;=$D39,N$3+6&gt;=$C39),IF(AND($D39&gt;=N$3,$D39&lt;=N$3+6),2,1),""))</f>
        <v/>
      </c>
      <c r="O39" s="29" t="str">
        <f aca="false">IF(OR($C39="",$D39=""),"",IF(AND(O$3&lt;=$D39,O$3+6&gt;=$C39),IF(AND($D39&gt;=O$3,$D39&lt;=O$3+6),2,1),""))</f>
        <v/>
      </c>
      <c r="P39" s="29" t="str">
        <f aca="false">IF(OR($C39="",$D39=""),"",IF(AND(P$3&lt;=$D39,P$3+6&gt;=$C39),IF(AND($D39&gt;=P$3,$D39&lt;=P$3+6),2,1),""))</f>
        <v/>
      </c>
      <c r="Q39" s="29" t="str">
        <f aca="false">IF(OR($C39="",$D39=""),"",IF(AND(Q$3&lt;=$D39,Q$3+6&gt;=$C39),IF(AND($D39&gt;=Q$3,$D39&lt;=Q$3+6),2,1),""))</f>
        <v/>
      </c>
      <c r="R39" s="29" t="str">
        <f aca="false">IF(OR($C39="",$D39=""),"",IF(AND(R$3&lt;=$D39,R$3+6&gt;=$C39),IF(AND($D39&gt;=R$3,$D39&lt;=R$3+6),2,1),""))</f>
        <v/>
      </c>
      <c r="S39" s="29" t="str">
        <f aca="false">IF(OR($C39="",$D39=""),"",IF(AND(S$3&lt;=$D39,S$3+6&gt;=$C39),IF(AND($D39&gt;=S$3,$D39&lt;=S$3+6),2,1),""))</f>
        <v/>
      </c>
      <c r="T39" s="29" t="str">
        <f aca="false">IF(OR($C39="",$D39=""),"",IF(AND(T$3&lt;=$D39,T$3+6&gt;=$C39),IF(AND($D39&gt;=T$3,$D39&lt;=T$3+6),2,1),""))</f>
        <v/>
      </c>
      <c r="U39" s="29" t="str">
        <f aca="false">IF(OR($C39="",$D39=""),"",IF(AND(U$3&lt;=$D39,U$3+6&gt;=$C39),IF(AND($D39&gt;=U$3,$D39&lt;=U$3+6),2,1),""))</f>
        <v/>
      </c>
      <c r="V39" s="29" t="str">
        <f aca="false">IF(OR($C39="",$D39=""),"",IF(AND(V$3&lt;=$D39,V$3+6&gt;=$C39),IF(AND($D39&gt;=V$3,$D39&lt;=V$3+6),2,1),""))</f>
        <v/>
      </c>
      <c r="W39" s="29" t="str">
        <f aca="false">IF(OR($C39="",$D39=""),"",IF(AND(W$3&lt;=$D39,W$3+6&gt;=$C39),IF(AND($D39&gt;=W$3,$D39&lt;=W$3+6),2,1),""))</f>
        <v/>
      </c>
      <c r="X39" s="29" t="str">
        <f aca="false">IF(OR($C39="",$D39=""),"",IF(AND(X$3&lt;=$D39,X$3+6&gt;=$C39),IF(AND($D39&gt;=X$3,$D39&lt;=X$3+6),2,1),""))</f>
        <v/>
      </c>
      <c r="Y39" s="29" t="str">
        <f aca="false">IF(OR($C39="",$D39=""),"",IF(AND(Y$3&lt;=$D39,Y$3+6&gt;=$C39),IF(AND($D39&gt;=Y$3,$D39&lt;=Y$3+6),2,1),""))</f>
        <v/>
      </c>
      <c r="Z39" s="29" t="str">
        <f aca="false">IF(OR($C39="",$D39=""),"",IF(AND(Z$3&lt;=$D39,Z$3+6&gt;=$C39),IF(AND($D39&gt;=Z$3,$D39&lt;=Z$3+6),2,1),""))</f>
        <v/>
      </c>
      <c r="AA39" s="29" t="str">
        <f aca="false">IF(OR($C39="",$D39=""),"",IF(AND(AA$3&lt;=$D39,AA$3+6&gt;=$C39),IF(AND($D39&gt;=AA$3,$D39&lt;=AA$3+6),2,1),""))</f>
        <v/>
      </c>
      <c r="AB39" s="29" t="str">
        <f aca="false">IF(OR($C39="",$D39=""),"",IF(AND(AB$3&lt;=$D39,AB$3+6&gt;=$C39),IF(AND($D39&gt;=AB$3,$D39&lt;=AB$3+6),2,1),""))</f>
        <v/>
      </c>
      <c r="AC39" s="29" t="str">
        <f aca="false">IF(OR($C39="",$D39=""),"",IF(AND(AC$3&lt;=$D39,AC$3+6&gt;=$C39),IF(AND($D39&gt;=AC$3,$D39&lt;=AC$3+6),2,1),""))</f>
        <v/>
      </c>
      <c r="AD39" s="29" t="str">
        <f aca="false">IF(OR($C39="",$D39=""),"",IF(AND(AD$3&lt;=$D39,AD$3+6&gt;=$C39),IF(AND($D39&gt;=AD$3,$D39&lt;=AD$3+6),2,1),""))</f>
        <v/>
      </c>
      <c r="AE39" s="29" t="str">
        <f aca="false">IF(OR($C39="",$D39=""),"",IF(AND(AE$3&lt;=$D39,AE$3+6&gt;=$C39),IF(AND($D39&gt;=AE$3,$D39&lt;=AE$3+6),2,1),""))</f>
        <v/>
      </c>
      <c r="AF39" s="29" t="str">
        <f aca="false">IF(OR($C39="",$D39=""),"",IF(AND(AF$3&lt;=$D39,AF$3+6&gt;=$C39),IF(AND($D39&gt;=AF$3,$D39&lt;=AF$3+6),2,1),""))</f>
        <v/>
      </c>
      <c r="AG39" s="29" t="str">
        <f aca="false">IF(OR($C39="",$D39=""),"",IF(AND(AG$3&lt;=$D39,AG$3+6&gt;=$C39),IF(AND($D39&gt;=AG$3,$D39&lt;=AG$3+6),2,1),""))</f>
        <v/>
      </c>
      <c r="AH39" s="29" t="str">
        <f aca="false">IF(OR($C39="",$D39=""),"",IF(AND(AH$3&lt;=$D39,AH$3+6&gt;=$C39),IF(AND($D39&gt;=AH$3,$D39&lt;=AH$3+6),2,1),""))</f>
        <v/>
      </c>
      <c r="AI39" s="29" t="str">
        <f aca="false">IF(OR($C39="",$D39=""),"",IF(AND(AI$3&lt;=$D39,AI$3+6&gt;=$C39),IF(AND($D39&gt;=AI$3,$D39&lt;=AI$3+6),2,1),""))</f>
        <v/>
      </c>
      <c r="AJ39" s="29" t="str">
        <f aca="false">IF(OR($C39="",$D39=""),"",IF(AND(AJ$3&lt;=$D39,AJ$3+6&gt;=$C39),IF(AND($D39&gt;=AJ$3,$D39&lt;=AJ$3+6),2,1),""))</f>
        <v/>
      </c>
      <c r="AK39" s="29" t="str">
        <f aca="false">IF(OR($C39="",$D39=""),"",IF(AND(AK$3&lt;=$D39,AK$3+6&gt;=$C39),IF(AND($D39&gt;=AK$3,$D39&lt;=AK$3+6),2,1),""))</f>
        <v/>
      </c>
      <c r="AL39" s="29" t="str">
        <f aca="false">IF(OR($C39="",$D39=""),"",IF(AND(AL$3&lt;=$D39,AL$3+6&gt;=$C39),IF(AND($D39&gt;=AL$3,$D39&lt;=AL$3+6),2,1),""))</f>
        <v/>
      </c>
      <c r="AM39" s="29" t="str">
        <f aca="false">IF(OR($C39="",$D39=""),"",IF(AND(AM$3&lt;=$D39,AM$3+6&gt;=$C39),IF(AND($D39&gt;=AM$3,$D39&lt;=AM$3+6),2,1),""))</f>
        <v/>
      </c>
      <c r="AN39" s="29" t="str">
        <f aca="false">IF(OR($C39="",$D39=""),"",IF(AND(AN$3&lt;=$D39,AN$3+6&gt;=$C39),IF(AND($D39&gt;=AN$3,$D39&lt;=AN$3+6),2,1),""))</f>
        <v/>
      </c>
      <c r="AO39" s="29" t="str">
        <f aca="false">IF(OR($C39="",$D39=""),"",IF(AND(AO$3&lt;=$D39,AO$3+6&gt;=$C39),IF(AND($D39&gt;=AO$3,$D39&lt;=AO$3+6),2,1),""))</f>
        <v/>
      </c>
      <c r="AP39" s="29" t="str">
        <f aca="false">IF(OR($C39="",$D39=""),"",IF(AND(AP$3&lt;=$D39,AP$3+6&gt;=$C39),IF(AND($D39&gt;=AP$3,$D39&lt;=AP$3+6),2,1),""))</f>
        <v/>
      </c>
      <c r="AQ39" s="29" t="str">
        <f aca="false">IF(OR($C39="",$D39=""),"",IF(AND(AQ$3&lt;=$D39,AQ$3+6&gt;=$C39),IF(AND($D39&gt;=AQ$3,$D39&lt;=AQ$3+6),2,1),""))</f>
        <v/>
      </c>
      <c r="AR39" s="29" t="str">
        <f aca="false">IF(OR($C39="",$D39=""),"",IF(AND(AR$3&lt;=$D39,AR$3+6&gt;=$C39),IF(AND($D39&gt;=AR$3,$D39&lt;=AR$3+6),2,1),""))</f>
        <v/>
      </c>
      <c r="AS39" s="29" t="str">
        <f aca="false">IF(OR($C39="",$D39=""),"",IF(AND(AS$3&lt;=$D39,AS$3+6&gt;=$C39),IF(AND($D39&gt;=AS$3,$D39&lt;=AS$3+6),2,1),""))</f>
        <v/>
      </c>
      <c r="AT39" s="29" t="str">
        <f aca="false">IF(OR($C39="",$D39=""),"",IF(AND(AT$3&lt;=$D39,AT$3+6&gt;=$C39),IF(AND($D39&gt;=AT$3,$D39&lt;=AT$3+6),2,1),""))</f>
        <v/>
      </c>
      <c r="AU39" s="29" t="str">
        <f aca="false">IF(OR($C39="",$D39=""),"",IF(AND(AU$3&lt;=$D39,AU$3+6&gt;=$C39),IF(AND($D39&gt;=AU$3,$D39&lt;=AU$3+6),2,1),""))</f>
        <v/>
      </c>
      <c r="AV39" s="29" t="str">
        <f aca="false">IF(OR($C39="",$D39=""),"",IF(AND(AV$3&lt;=$D39,AV$3+6&gt;=$C39),IF(AND($D39&gt;=AV$3,$D39&lt;=AV$3+6),2,1),""))</f>
        <v/>
      </c>
      <c r="AW39" s="29" t="str">
        <f aca="false">IF(OR($C39="",$D39=""),"",IF(AND(AW$3&lt;=$D39,AW$3+6&gt;=$C39),IF(AND($D39&gt;=AW$3,$D39&lt;=AW$3+6),2,1),""))</f>
        <v/>
      </c>
      <c r="AX39" s="29" t="str">
        <f aca="false">IF(OR($C39="",$D39=""),"",IF(AND(AX$3&lt;=$D39,AX$3+6&gt;=$C39),IF(AND($D39&gt;=AX$3,$D39&lt;=AX$3+6),2,1),""))</f>
        <v/>
      </c>
      <c r="AY39" s="29" t="str">
        <f aca="false">IF(OR($C39="",$D39=""),"",IF(AND(AY$3&lt;=$D39,AY$3+6&gt;=$C39),IF(AND($D39&gt;=AY$3,$D39&lt;=AY$3+6),2,1),""))</f>
        <v/>
      </c>
      <c r="AZ39" s="29" t="str">
        <f aca="false">IF(OR($C39="",$D39=""),"",IF(AND(AZ$3&lt;=$D39,AZ$3+6&gt;=$C39),IF(AND($D39&gt;=AZ$3,$D39&lt;=AZ$3+6),2,1),""))</f>
        <v/>
      </c>
      <c r="BA39" s="29" t="str">
        <f aca="false">IF(OR($C39="",$D39=""),"",IF(AND(BA$3&lt;=$D39,BA$3+6&gt;=$C39),IF(AND($D39&gt;=BA$3,$D39&lt;=BA$3+6),2,1),""))</f>
        <v/>
      </c>
      <c r="BB39" s="29" t="str">
        <f aca="false">IF(OR($C39="",$D39=""),"",IF(AND(BB$3&lt;=$D39,BB$3+6&gt;=$C39),IF(AND($D39&gt;=BB$3,$D39&lt;=BB$3+6),2,1),""))</f>
        <v/>
      </c>
      <c r="BC39" s="29" t="str">
        <f aca="false">IF(OR($C39="",$D39=""),"",IF(AND(BC$3&lt;=$D39,BC$3+6&gt;=$C39),IF(AND($D39&gt;=BC$3,$D39&lt;=BC$3+6),2,1),""))</f>
        <v/>
      </c>
      <c r="BD39" s="29" t="str">
        <f aca="false">IF(OR($C39="",$D39=""),"",IF(AND(BD$3&lt;=$D39,BD$3+6&gt;=$C39),IF(AND($D39&gt;=BD$3,$D39&lt;=BD$3+6),2,1),""))</f>
        <v/>
      </c>
      <c r="BE39" s="29" t="str">
        <f aca="false">IF(OR($C39="",$D39=""),"",IF(AND(BE$3&lt;=$D39,BE$3+6&gt;=$C39),IF(AND($D39&gt;=BE$3,$D39&lt;=BE$3+6),2,1),""))</f>
        <v/>
      </c>
      <c r="BF39" s="29" t="str">
        <f aca="false">IF(OR($C39="",$D39=""),"",IF(AND(BF$3&lt;=$D39,BF$3+6&gt;=$C39),IF(AND($D39&gt;=BF$3,$D39&lt;=BF$3+6),2,1),""))</f>
        <v/>
      </c>
    </row>
    <row r="40" customFormat="false" ht="15" hidden="false" customHeight="true" outlineLevel="0" collapsed="false">
      <c r="A40" s="16" t="s">
        <v>286</v>
      </c>
      <c r="B40" s="27" t="str">
        <f aca="false">IFERROR(INDEX(Plan!$C$2:$C$400,MATCH($A40,Plan!$A$2:$A$400,0)),"")</f>
        <v>Onboard the 4–5 backend teams</v>
      </c>
      <c r="C40" s="28" t="n">
        <f aca="false">IFERROR(INDEX(Plan!$I$2:$I$400,MATCH($A40,Plan!$A$2:$A$400,0)),"")</f>
        <v>46391</v>
      </c>
      <c r="D40" s="28" t="n">
        <f aca="false">IFERROR(INDEX(Plan!$J$2:$J$400,MATCH($A40,Plan!$A$2:$A$400,0)),"")</f>
        <v>46507</v>
      </c>
      <c r="E40" s="29" t="str">
        <f aca="false">IF(OR($C40="",$D40=""),"",IF(AND(E$3&lt;=$D40,E$3+6&gt;=$C40),IF(AND($D40&gt;=E$3,$D40&lt;=E$3+6),2,1),""))</f>
        <v/>
      </c>
      <c r="F40" s="29" t="str">
        <f aca="false">IF(OR($C40="",$D40=""),"",IF(AND(F$3&lt;=$D40,F$3+6&gt;=$C40),IF(AND($D40&gt;=F$3,$D40&lt;=F$3+6),2,1),""))</f>
        <v/>
      </c>
      <c r="G40" s="29" t="str">
        <f aca="false">IF(OR($C40="",$D40=""),"",IF(AND(G$3&lt;=$D40,G$3+6&gt;=$C40),IF(AND($D40&gt;=G$3,$D40&lt;=G$3+6),2,1),""))</f>
        <v/>
      </c>
      <c r="H40" s="29" t="str">
        <f aca="false">IF(OR($C40="",$D40=""),"",IF(AND(H$3&lt;=$D40,H$3+6&gt;=$C40),IF(AND($D40&gt;=H$3,$D40&lt;=H$3+6),2,1),""))</f>
        <v/>
      </c>
      <c r="I40" s="29" t="str">
        <f aca="false">IF(OR($C40="",$D40=""),"",IF(AND(I$3&lt;=$D40,I$3+6&gt;=$C40),IF(AND($D40&gt;=I$3,$D40&lt;=I$3+6),2,1),""))</f>
        <v/>
      </c>
      <c r="J40" s="29" t="str">
        <f aca="false">IF(OR($C40="",$D40=""),"",IF(AND(J$3&lt;=$D40,J$3+6&gt;=$C40),IF(AND($D40&gt;=J$3,$D40&lt;=J$3+6),2,1),""))</f>
        <v/>
      </c>
      <c r="K40" s="29" t="str">
        <f aca="false">IF(OR($C40="",$D40=""),"",IF(AND(K$3&lt;=$D40,K$3+6&gt;=$C40),IF(AND($D40&gt;=K$3,$D40&lt;=K$3+6),2,1),""))</f>
        <v/>
      </c>
      <c r="L40" s="29" t="str">
        <f aca="false">IF(OR($C40="",$D40=""),"",IF(AND(L$3&lt;=$D40,L$3+6&gt;=$C40),IF(AND($D40&gt;=L$3,$D40&lt;=L$3+6),2,1),""))</f>
        <v/>
      </c>
      <c r="M40" s="29" t="str">
        <f aca="false">IF(OR($C40="",$D40=""),"",IF(AND(M$3&lt;=$D40,M$3+6&gt;=$C40),IF(AND($D40&gt;=M$3,$D40&lt;=M$3+6),2,1),""))</f>
        <v/>
      </c>
      <c r="N40" s="29" t="str">
        <f aca="false">IF(OR($C40="",$D40=""),"",IF(AND(N$3&lt;=$D40,N$3+6&gt;=$C40),IF(AND($D40&gt;=N$3,$D40&lt;=N$3+6),2,1),""))</f>
        <v/>
      </c>
      <c r="O40" s="29" t="n">
        <f aca="false">IF(OR($C40="",$D40=""),"",IF(AND(O$3&lt;=$D40,O$3+6&gt;=$C40),IF(AND($D40&gt;=O$3,$D40&lt;=O$3+6),2,1),""))</f>
        <v>1</v>
      </c>
      <c r="P40" s="29" t="n">
        <f aca="false">IF(OR($C40="",$D40=""),"",IF(AND(P$3&lt;=$D40,P$3+6&gt;=$C40),IF(AND($D40&gt;=P$3,$D40&lt;=P$3+6),2,1),""))</f>
        <v>1</v>
      </c>
      <c r="Q40" s="29" t="n">
        <f aca="false">IF(OR($C40="",$D40=""),"",IF(AND(Q$3&lt;=$D40,Q$3+6&gt;=$C40),IF(AND($D40&gt;=Q$3,$D40&lt;=Q$3+6),2,1),""))</f>
        <v>1</v>
      </c>
      <c r="R40" s="29" t="n">
        <f aca="false">IF(OR($C40="",$D40=""),"",IF(AND(R$3&lt;=$D40,R$3+6&gt;=$C40),IF(AND($D40&gt;=R$3,$D40&lt;=R$3+6),2,1),""))</f>
        <v>1</v>
      </c>
      <c r="S40" s="29" t="n">
        <f aca="false">IF(OR($C40="",$D40=""),"",IF(AND(S$3&lt;=$D40,S$3+6&gt;=$C40),IF(AND($D40&gt;=S$3,$D40&lt;=S$3+6),2,1),""))</f>
        <v>1</v>
      </c>
      <c r="T40" s="29" t="n">
        <f aca="false">IF(OR($C40="",$D40=""),"",IF(AND(T$3&lt;=$D40,T$3+6&gt;=$C40),IF(AND($D40&gt;=T$3,$D40&lt;=T$3+6),2,1),""))</f>
        <v>1</v>
      </c>
      <c r="U40" s="29" t="n">
        <f aca="false">IF(OR($C40="",$D40=""),"",IF(AND(U$3&lt;=$D40,U$3+6&gt;=$C40),IF(AND($D40&gt;=U$3,$D40&lt;=U$3+6),2,1),""))</f>
        <v>1</v>
      </c>
      <c r="V40" s="29" t="n">
        <f aca="false">IF(OR($C40="",$D40=""),"",IF(AND(V$3&lt;=$D40,V$3+6&gt;=$C40),IF(AND($D40&gt;=V$3,$D40&lt;=V$3+6),2,1),""))</f>
        <v>1</v>
      </c>
      <c r="W40" s="29" t="n">
        <f aca="false">IF(OR($C40="",$D40=""),"",IF(AND(W$3&lt;=$D40,W$3+6&gt;=$C40),IF(AND($D40&gt;=W$3,$D40&lt;=W$3+6),2,1),""))</f>
        <v>1</v>
      </c>
      <c r="X40" s="29" t="n">
        <f aca="false">IF(OR($C40="",$D40=""),"",IF(AND(X$3&lt;=$D40,X$3+6&gt;=$C40),IF(AND($D40&gt;=X$3,$D40&lt;=X$3+6),2,1),""))</f>
        <v>1</v>
      </c>
      <c r="Y40" s="29" t="n">
        <f aca="false">IF(OR($C40="",$D40=""),"",IF(AND(Y$3&lt;=$D40,Y$3+6&gt;=$C40),IF(AND($D40&gt;=Y$3,$D40&lt;=Y$3+6),2,1),""))</f>
        <v>1</v>
      </c>
      <c r="Z40" s="29" t="n">
        <f aca="false">IF(OR($C40="",$D40=""),"",IF(AND(Z$3&lt;=$D40,Z$3+6&gt;=$C40),IF(AND($D40&gt;=Z$3,$D40&lt;=Z$3+6),2,1),""))</f>
        <v>1</v>
      </c>
      <c r="AA40" s="29" t="n">
        <f aca="false">IF(OR($C40="",$D40=""),"",IF(AND(AA$3&lt;=$D40,AA$3+6&gt;=$C40),IF(AND($D40&gt;=AA$3,$D40&lt;=AA$3+6),2,1),""))</f>
        <v>1</v>
      </c>
      <c r="AB40" s="29" t="n">
        <f aca="false">IF(OR($C40="",$D40=""),"",IF(AND(AB$3&lt;=$D40,AB$3+6&gt;=$C40),IF(AND($D40&gt;=AB$3,$D40&lt;=AB$3+6),2,1),""))</f>
        <v>1</v>
      </c>
      <c r="AC40" s="29" t="n">
        <f aca="false">IF(OR($C40="",$D40=""),"",IF(AND(AC$3&lt;=$D40,AC$3+6&gt;=$C40),IF(AND($D40&gt;=AC$3,$D40&lt;=AC$3+6),2,1),""))</f>
        <v>1</v>
      </c>
      <c r="AD40" s="29" t="n">
        <f aca="false">IF(OR($C40="",$D40=""),"",IF(AND(AD$3&lt;=$D40,AD$3+6&gt;=$C40),IF(AND($D40&gt;=AD$3,$D40&lt;=AD$3+6),2,1),""))</f>
        <v>1</v>
      </c>
      <c r="AE40" s="29" t="n">
        <f aca="false">IF(OR($C40="",$D40=""),"",IF(AND(AE$3&lt;=$D40,AE$3+6&gt;=$C40),IF(AND($D40&gt;=AE$3,$D40&lt;=AE$3+6),2,1),""))</f>
        <v>2</v>
      </c>
      <c r="AF40" s="29" t="str">
        <f aca="false">IF(OR($C40="",$D40=""),"",IF(AND(AF$3&lt;=$D40,AF$3+6&gt;=$C40),IF(AND($D40&gt;=AF$3,$D40&lt;=AF$3+6),2,1),""))</f>
        <v/>
      </c>
      <c r="AG40" s="29" t="str">
        <f aca="false">IF(OR($C40="",$D40=""),"",IF(AND(AG$3&lt;=$D40,AG$3+6&gt;=$C40),IF(AND($D40&gt;=AG$3,$D40&lt;=AG$3+6),2,1),""))</f>
        <v/>
      </c>
      <c r="AH40" s="29" t="str">
        <f aca="false">IF(OR($C40="",$D40=""),"",IF(AND(AH$3&lt;=$D40,AH$3+6&gt;=$C40),IF(AND($D40&gt;=AH$3,$D40&lt;=AH$3+6),2,1),""))</f>
        <v/>
      </c>
      <c r="AI40" s="29" t="str">
        <f aca="false">IF(OR($C40="",$D40=""),"",IF(AND(AI$3&lt;=$D40,AI$3+6&gt;=$C40),IF(AND($D40&gt;=AI$3,$D40&lt;=AI$3+6),2,1),""))</f>
        <v/>
      </c>
      <c r="AJ40" s="29" t="str">
        <f aca="false">IF(OR($C40="",$D40=""),"",IF(AND(AJ$3&lt;=$D40,AJ$3+6&gt;=$C40),IF(AND($D40&gt;=AJ$3,$D40&lt;=AJ$3+6),2,1),""))</f>
        <v/>
      </c>
      <c r="AK40" s="29" t="str">
        <f aca="false">IF(OR($C40="",$D40=""),"",IF(AND(AK$3&lt;=$D40,AK$3+6&gt;=$C40),IF(AND($D40&gt;=AK$3,$D40&lt;=AK$3+6),2,1),""))</f>
        <v/>
      </c>
      <c r="AL40" s="29" t="str">
        <f aca="false">IF(OR($C40="",$D40=""),"",IF(AND(AL$3&lt;=$D40,AL$3+6&gt;=$C40),IF(AND($D40&gt;=AL$3,$D40&lt;=AL$3+6),2,1),""))</f>
        <v/>
      </c>
      <c r="AM40" s="29" t="str">
        <f aca="false">IF(OR($C40="",$D40=""),"",IF(AND(AM$3&lt;=$D40,AM$3+6&gt;=$C40),IF(AND($D40&gt;=AM$3,$D40&lt;=AM$3+6),2,1),""))</f>
        <v/>
      </c>
      <c r="AN40" s="29" t="str">
        <f aca="false">IF(OR($C40="",$D40=""),"",IF(AND(AN$3&lt;=$D40,AN$3+6&gt;=$C40),IF(AND($D40&gt;=AN$3,$D40&lt;=AN$3+6),2,1),""))</f>
        <v/>
      </c>
      <c r="AO40" s="29" t="str">
        <f aca="false">IF(OR($C40="",$D40=""),"",IF(AND(AO$3&lt;=$D40,AO$3+6&gt;=$C40),IF(AND($D40&gt;=AO$3,$D40&lt;=AO$3+6),2,1),""))</f>
        <v/>
      </c>
      <c r="AP40" s="29" t="str">
        <f aca="false">IF(OR($C40="",$D40=""),"",IF(AND(AP$3&lt;=$D40,AP$3+6&gt;=$C40),IF(AND($D40&gt;=AP$3,$D40&lt;=AP$3+6),2,1),""))</f>
        <v/>
      </c>
      <c r="AQ40" s="29" t="str">
        <f aca="false">IF(OR($C40="",$D40=""),"",IF(AND(AQ$3&lt;=$D40,AQ$3+6&gt;=$C40),IF(AND($D40&gt;=AQ$3,$D40&lt;=AQ$3+6),2,1),""))</f>
        <v/>
      </c>
      <c r="AR40" s="29" t="str">
        <f aca="false">IF(OR($C40="",$D40=""),"",IF(AND(AR$3&lt;=$D40,AR$3+6&gt;=$C40),IF(AND($D40&gt;=AR$3,$D40&lt;=AR$3+6),2,1),""))</f>
        <v/>
      </c>
      <c r="AS40" s="29" t="str">
        <f aca="false">IF(OR($C40="",$D40=""),"",IF(AND(AS$3&lt;=$D40,AS$3+6&gt;=$C40),IF(AND($D40&gt;=AS$3,$D40&lt;=AS$3+6),2,1),""))</f>
        <v/>
      </c>
      <c r="AT40" s="29" t="str">
        <f aca="false">IF(OR($C40="",$D40=""),"",IF(AND(AT$3&lt;=$D40,AT$3+6&gt;=$C40),IF(AND($D40&gt;=AT$3,$D40&lt;=AT$3+6),2,1),""))</f>
        <v/>
      </c>
      <c r="AU40" s="29" t="str">
        <f aca="false">IF(OR($C40="",$D40=""),"",IF(AND(AU$3&lt;=$D40,AU$3+6&gt;=$C40),IF(AND($D40&gt;=AU$3,$D40&lt;=AU$3+6),2,1),""))</f>
        <v/>
      </c>
      <c r="AV40" s="29" t="str">
        <f aca="false">IF(OR($C40="",$D40=""),"",IF(AND(AV$3&lt;=$D40,AV$3+6&gt;=$C40),IF(AND($D40&gt;=AV$3,$D40&lt;=AV$3+6),2,1),""))</f>
        <v/>
      </c>
      <c r="AW40" s="29" t="str">
        <f aca="false">IF(OR($C40="",$D40=""),"",IF(AND(AW$3&lt;=$D40,AW$3+6&gt;=$C40),IF(AND($D40&gt;=AW$3,$D40&lt;=AW$3+6),2,1),""))</f>
        <v/>
      </c>
      <c r="AX40" s="29" t="str">
        <f aca="false">IF(OR($C40="",$D40=""),"",IF(AND(AX$3&lt;=$D40,AX$3+6&gt;=$C40),IF(AND($D40&gt;=AX$3,$D40&lt;=AX$3+6),2,1),""))</f>
        <v/>
      </c>
      <c r="AY40" s="29" t="str">
        <f aca="false">IF(OR($C40="",$D40=""),"",IF(AND(AY$3&lt;=$D40,AY$3+6&gt;=$C40),IF(AND($D40&gt;=AY$3,$D40&lt;=AY$3+6),2,1),""))</f>
        <v/>
      </c>
      <c r="AZ40" s="29" t="str">
        <f aca="false">IF(OR($C40="",$D40=""),"",IF(AND(AZ$3&lt;=$D40,AZ$3+6&gt;=$C40),IF(AND($D40&gt;=AZ$3,$D40&lt;=AZ$3+6),2,1),""))</f>
        <v/>
      </c>
      <c r="BA40" s="29" t="str">
        <f aca="false">IF(OR($C40="",$D40=""),"",IF(AND(BA$3&lt;=$D40,BA$3+6&gt;=$C40),IF(AND($D40&gt;=BA$3,$D40&lt;=BA$3+6),2,1),""))</f>
        <v/>
      </c>
      <c r="BB40" s="29" t="str">
        <f aca="false">IF(OR($C40="",$D40=""),"",IF(AND(BB$3&lt;=$D40,BB$3+6&gt;=$C40),IF(AND($D40&gt;=BB$3,$D40&lt;=BB$3+6),2,1),""))</f>
        <v/>
      </c>
      <c r="BC40" s="29" t="str">
        <f aca="false">IF(OR($C40="",$D40=""),"",IF(AND(BC$3&lt;=$D40,BC$3+6&gt;=$C40),IF(AND($D40&gt;=BC$3,$D40&lt;=BC$3+6),2,1),""))</f>
        <v/>
      </c>
      <c r="BD40" s="29" t="str">
        <f aca="false">IF(OR($C40="",$D40=""),"",IF(AND(BD$3&lt;=$D40,BD$3+6&gt;=$C40),IF(AND($D40&gt;=BD$3,$D40&lt;=BD$3+6),2,1),""))</f>
        <v/>
      </c>
      <c r="BE40" s="29" t="str">
        <f aca="false">IF(OR($C40="",$D40=""),"",IF(AND(BE$3&lt;=$D40,BE$3+6&gt;=$C40),IF(AND($D40&gt;=BE$3,$D40&lt;=BE$3+6),2,1),""))</f>
        <v/>
      </c>
      <c r="BF40" s="29" t="str">
        <f aca="false">IF(OR($C40="",$D40=""),"",IF(AND(BF$3&lt;=$D40,BF$3+6&gt;=$C40),IF(AND($D40&gt;=BF$3,$D40&lt;=BF$3+6),2,1),""))</f>
        <v/>
      </c>
    </row>
    <row r="41" customFormat="false" ht="15" hidden="false" customHeight="true" outlineLevel="0" collapsed="false">
      <c r="A41" s="16" t="s">
        <v>293</v>
      </c>
      <c r="B41" s="27" t="str">
        <f aca="false">IFERROR(INDEX(Plan!$C$2:$C$400,MATCH($A41,Plan!$A$2:$A$400,0)),"")</f>
        <v>Automated gates in shadow, then retire human gates</v>
      </c>
      <c r="C41" s="28" t="n">
        <f aca="false">IFERROR(INDEX(Plan!$I$2:$I$400,MATCH($A41,Plan!$A$2:$A$400,0)),"")</f>
        <v>46419</v>
      </c>
      <c r="D41" s="28" t="n">
        <f aca="false">IFERROR(INDEX(Plan!$J$2:$J$400,MATCH($A41,Plan!$A$2:$A$400,0)),"")</f>
        <v>46507</v>
      </c>
      <c r="E41" s="29" t="str">
        <f aca="false">IF(OR($C41="",$D41=""),"",IF(AND(E$3&lt;=$D41,E$3+6&gt;=$C41),IF(AND($D41&gt;=E$3,$D41&lt;=E$3+6),2,1),""))</f>
        <v/>
      </c>
      <c r="F41" s="29" t="str">
        <f aca="false">IF(OR($C41="",$D41=""),"",IF(AND(F$3&lt;=$D41,F$3+6&gt;=$C41),IF(AND($D41&gt;=F$3,$D41&lt;=F$3+6),2,1),""))</f>
        <v/>
      </c>
      <c r="G41" s="29" t="str">
        <f aca="false">IF(OR($C41="",$D41=""),"",IF(AND(G$3&lt;=$D41,G$3+6&gt;=$C41),IF(AND($D41&gt;=G$3,$D41&lt;=G$3+6),2,1),""))</f>
        <v/>
      </c>
      <c r="H41" s="29" t="str">
        <f aca="false">IF(OR($C41="",$D41=""),"",IF(AND(H$3&lt;=$D41,H$3+6&gt;=$C41),IF(AND($D41&gt;=H$3,$D41&lt;=H$3+6),2,1),""))</f>
        <v/>
      </c>
      <c r="I41" s="29" t="str">
        <f aca="false">IF(OR($C41="",$D41=""),"",IF(AND(I$3&lt;=$D41,I$3+6&gt;=$C41),IF(AND($D41&gt;=I$3,$D41&lt;=I$3+6),2,1),""))</f>
        <v/>
      </c>
      <c r="J41" s="29" t="str">
        <f aca="false">IF(OR($C41="",$D41=""),"",IF(AND(J$3&lt;=$D41,J$3+6&gt;=$C41),IF(AND($D41&gt;=J$3,$D41&lt;=J$3+6),2,1),""))</f>
        <v/>
      </c>
      <c r="K41" s="29" t="str">
        <f aca="false">IF(OR($C41="",$D41=""),"",IF(AND(K$3&lt;=$D41,K$3+6&gt;=$C41),IF(AND($D41&gt;=K$3,$D41&lt;=K$3+6),2,1),""))</f>
        <v/>
      </c>
      <c r="L41" s="29" t="str">
        <f aca="false">IF(OR($C41="",$D41=""),"",IF(AND(L$3&lt;=$D41,L$3+6&gt;=$C41),IF(AND($D41&gt;=L$3,$D41&lt;=L$3+6),2,1),""))</f>
        <v/>
      </c>
      <c r="M41" s="29" t="str">
        <f aca="false">IF(OR($C41="",$D41=""),"",IF(AND(M$3&lt;=$D41,M$3+6&gt;=$C41),IF(AND($D41&gt;=M$3,$D41&lt;=M$3+6),2,1),""))</f>
        <v/>
      </c>
      <c r="N41" s="29" t="str">
        <f aca="false">IF(OR($C41="",$D41=""),"",IF(AND(N$3&lt;=$D41,N$3+6&gt;=$C41),IF(AND($D41&gt;=N$3,$D41&lt;=N$3+6),2,1),""))</f>
        <v/>
      </c>
      <c r="O41" s="29" t="str">
        <f aca="false">IF(OR($C41="",$D41=""),"",IF(AND(O$3&lt;=$D41,O$3+6&gt;=$C41),IF(AND($D41&gt;=O$3,$D41&lt;=O$3+6),2,1),""))</f>
        <v/>
      </c>
      <c r="P41" s="29" t="str">
        <f aca="false">IF(OR($C41="",$D41=""),"",IF(AND(P$3&lt;=$D41,P$3+6&gt;=$C41),IF(AND($D41&gt;=P$3,$D41&lt;=P$3+6),2,1),""))</f>
        <v/>
      </c>
      <c r="Q41" s="29" t="str">
        <f aca="false">IF(OR($C41="",$D41=""),"",IF(AND(Q$3&lt;=$D41,Q$3+6&gt;=$C41),IF(AND($D41&gt;=Q$3,$D41&lt;=Q$3+6),2,1),""))</f>
        <v/>
      </c>
      <c r="R41" s="29" t="str">
        <f aca="false">IF(OR($C41="",$D41=""),"",IF(AND(R$3&lt;=$D41,R$3+6&gt;=$C41),IF(AND($D41&gt;=R$3,$D41&lt;=R$3+6),2,1),""))</f>
        <v/>
      </c>
      <c r="S41" s="29" t="n">
        <f aca="false">IF(OR($C41="",$D41=""),"",IF(AND(S$3&lt;=$D41,S$3+6&gt;=$C41),IF(AND($D41&gt;=S$3,$D41&lt;=S$3+6),2,1),""))</f>
        <v>1</v>
      </c>
      <c r="T41" s="29" t="n">
        <f aca="false">IF(OR($C41="",$D41=""),"",IF(AND(T$3&lt;=$D41,T$3+6&gt;=$C41),IF(AND($D41&gt;=T$3,$D41&lt;=T$3+6),2,1),""))</f>
        <v>1</v>
      </c>
      <c r="U41" s="29" t="n">
        <f aca="false">IF(OR($C41="",$D41=""),"",IF(AND(U$3&lt;=$D41,U$3+6&gt;=$C41),IF(AND($D41&gt;=U$3,$D41&lt;=U$3+6),2,1),""))</f>
        <v>1</v>
      </c>
      <c r="V41" s="29" t="n">
        <f aca="false">IF(OR($C41="",$D41=""),"",IF(AND(V$3&lt;=$D41,V$3+6&gt;=$C41),IF(AND($D41&gt;=V$3,$D41&lt;=V$3+6),2,1),""))</f>
        <v>1</v>
      </c>
      <c r="W41" s="29" t="n">
        <f aca="false">IF(OR($C41="",$D41=""),"",IF(AND(W$3&lt;=$D41,W$3+6&gt;=$C41),IF(AND($D41&gt;=W$3,$D41&lt;=W$3+6),2,1),""))</f>
        <v>1</v>
      </c>
      <c r="X41" s="29" t="n">
        <f aca="false">IF(OR($C41="",$D41=""),"",IF(AND(X$3&lt;=$D41,X$3+6&gt;=$C41),IF(AND($D41&gt;=X$3,$D41&lt;=X$3+6),2,1),""))</f>
        <v>1</v>
      </c>
      <c r="Y41" s="29" t="n">
        <f aca="false">IF(OR($C41="",$D41=""),"",IF(AND(Y$3&lt;=$D41,Y$3+6&gt;=$C41),IF(AND($D41&gt;=Y$3,$D41&lt;=Y$3+6),2,1),""))</f>
        <v>1</v>
      </c>
      <c r="Z41" s="29" t="n">
        <f aca="false">IF(OR($C41="",$D41=""),"",IF(AND(Z$3&lt;=$D41,Z$3+6&gt;=$C41),IF(AND($D41&gt;=Z$3,$D41&lt;=Z$3+6),2,1),""))</f>
        <v>1</v>
      </c>
      <c r="AA41" s="29" t="n">
        <f aca="false">IF(OR($C41="",$D41=""),"",IF(AND(AA$3&lt;=$D41,AA$3+6&gt;=$C41),IF(AND($D41&gt;=AA$3,$D41&lt;=AA$3+6),2,1),""))</f>
        <v>1</v>
      </c>
      <c r="AB41" s="29" t="n">
        <f aca="false">IF(OR($C41="",$D41=""),"",IF(AND(AB$3&lt;=$D41,AB$3+6&gt;=$C41),IF(AND($D41&gt;=AB$3,$D41&lt;=AB$3+6),2,1),""))</f>
        <v>1</v>
      </c>
      <c r="AC41" s="29" t="n">
        <f aca="false">IF(OR($C41="",$D41=""),"",IF(AND(AC$3&lt;=$D41,AC$3+6&gt;=$C41),IF(AND($D41&gt;=AC$3,$D41&lt;=AC$3+6),2,1),""))</f>
        <v>1</v>
      </c>
      <c r="AD41" s="29" t="n">
        <f aca="false">IF(OR($C41="",$D41=""),"",IF(AND(AD$3&lt;=$D41,AD$3+6&gt;=$C41),IF(AND($D41&gt;=AD$3,$D41&lt;=AD$3+6),2,1),""))</f>
        <v>1</v>
      </c>
      <c r="AE41" s="29" t="n">
        <f aca="false">IF(OR($C41="",$D41=""),"",IF(AND(AE$3&lt;=$D41,AE$3+6&gt;=$C41),IF(AND($D41&gt;=AE$3,$D41&lt;=AE$3+6),2,1),""))</f>
        <v>2</v>
      </c>
      <c r="AF41" s="29" t="str">
        <f aca="false">IF(OR($C41="",$D41=""),"",IF(AND(AF$3&lt;=$D41,AF$3+6&gt;=$C41),IF(AND($D41&gt;=AF$3,$D41&lt;=AF$3+6),2,1),""))</f>
        <v/>
      </c>
      <c r="AG41" s="29" t="str">
        <f aca="false">IF(OR($C41="",$D41=""),"",IF(AND(AG$3&lt;=$D41,AG$3+6&gt;=$C41),IF(AND($D41&gt;=AG$3,$D41&lt;=AG$3+6),2,1),""))</f>
        <v/>
      </c>
      <c r="AH41" s="29" t="str">
        <f aca="false">IF(OR($C41="",$D41=""),"",IF(AND(AH$3&lt;=$D41,AH$3+6&gt;=$C41),IF(AND($D41&gt;=AH$3,$D41&lt;=AH$3+6),2,1),""))</f>
        <v/>
      </c>
      <c r="AI41" s="29" t="str">
        <f aca="false">IF(OR($C41="",$D41=""),"",IF(AND(AI$3&lt;=$D41,AI$3+6&gt;=$C41),IF(AND($D41&gt;=AI$3,$D41&lt;=AI$3+6),2,1),""))</f>
        <v/>
      </c>
      <c r="AJ41" s="29" t="str">
        <f aca="false">IF(OR($C41="",$D41=""),"",IF(AND(AJ$3&lt;=$D41,AJ$3+6&gt;=$C41),IF(AND($D41&gt;=AJ$3,$D41&lt;=AJ$3+6),2,1),""))</f>
        <v/>
      </c>
      <c r="AK41" s="29" t="str">
        <f aca="false">IF(OR($C41="",$D41=""),"",IF(AND(AK$3&lt;=$D41,AK$3+6&gt;=$C41),IF(AND($D41&gt;=AK$3,$D41&lt;=AK$3+6),2,1),""))</f>
        <v/>
      </c>
      <c r="AL41" s="29" t="str">
        <f aca="false">IF(OR($C41="",$D41=""),"",IF(AND(AL$3&lt;=$D41,AL$3+6&gt;=$C41),IF(AND($D41&gt;=AL$3,$D41&lt;=AL$3+6),2,1),""))</f>
        <v/>
      </c>
      <c r="AM41" s="29" t="str">
        <f aca="false">IF(OR($C41="",$D41=""),"",IF(AND(AM$3&lt;=$D41,AM$3+6&gt;=$C41),IF(AND($D41&gt;=AM$3,$D41&lt;=AM$3+6),2,1),""))</f>
        <v/>
      </c>
      <c r="AN41" s="29" t="str">
        <f aca="false">IF(OR($C41="",$D41=""),"",IF(AND(AN$3&lt;=$D41,AN$3+6&gt;=$C41),IF(AND($D41&gt;=AN$3,$D41&lt;=AN$3+6),2,1),""))</f>
        <v/>
      </c>
      <c r="AO41" s="29" t="str">
        <f aca="false">IF(OR($C41="",$D41=""),"",IF(AND(AO$3&lt;=$D41,AO$3+6&gt;=$C41),IF(AND($D41&gt;=AO$3,$D41&lt;=AO$3+6),2,1),""))</f>
        <v/>
      </c>
      <c r="AP41" s="29" t="str">
        <f aca="false">IF(OR($C41="",$D41=""),"",IF(AND(AP$3&lt;=$D41,AP$3+6&gt;=$C41),IF(AND($D41&gt;=AP$3,$D41&lt;=AP$3+6),2,1),""))</f>
        <v/>
      </c>
      <c r="AQ41" s="29" t="str">
        <f aca="false">IF(OR($C41="",$D41=""),"",IF(AND(AQ$3&lt;=$D41,AQ$3+6&gt;=$C41),IF(AND($D41&gt;=AQ$3,$D41&lt;=AQ$3+6),2,1),""))</f>
        <v/>
      </c>
      <c r="AR41" s="29" t="str">
        <f aca="false">IF(OR($C41="",$D41=""),"",IF(AND(AR$3&lt;=$D41,AR$3+6&gt;=$C41),IF(AND($D41&gt;=AR$3,$D41&lt;=AR$3+6),2,1),""))</f>
        <v/>
      </c>
      <c r="AS41" s="29" t="str">
        <f aca="false">IF(OR($C41="",$D41=""),"",IF(AND(AS$3&lt;=$D41,AS$3+6&gt;=$C41),IF(AND($D41&gt;=AS$3,$D41&lt;=AS$3+6),2,1),""))</f>
        <v/>
      </c>
      <c r="AT41" s="29" t="str">
        <f aca="false">IF(OR($C41="",$D41=""),"",IF(AND(AT$3&lt;=$D41,AT$3+6&gt;=$C41),IF(AND($D41&gt;=AT$3,$D41&lt;=AT$3+6),2,1),""))</f>
        <v/>
      </c>
      <c r="AU41" s="29" t="str">
        <f aca="false">IF(OR($C41="",$D41=""),"",IF(AND(AU$3&lt;=$D41,AU$3+6&gt;=$C41),IF(AND($D41&gt;=AU$3,$D41&lt;=AU$3+6),2,1),""))</f>
        <v/>
      </c>
      <c r="AV41" s="29" t="str">
        <f aca="false">IF(OR($C41="",$D41=""),"",IF(AND(AV$3&lt;=$D41,AV$3+6&gt;=$C41),IF(AND($D41&gt;=AV$3,$D41&lt;=AV$3+6),2,1),""))</f>
        <v/>
      </c>
      <c r="AW41" s="29" t="str">
        <f aca="false">IF(OR($C41="",$D41=""),"",IF(AND(AW$3&lt;=$D41,AW$3+6&gt;=$C41),IF(AND($D41&gt;=AW$3,$D41&lt;=AW$3+6),2,1),""))</f>
        <v/>
      </c>
      <c r="AX41" s="29" t="str">
        <f aca="false">IF(OR($C41="",$D41=""),"",IF(AND(AX$3&lt;=$D41,AX$3+6&gt;=$C41),IF(AND($D41&gt;=AX$3,$D41&lt;=AX$3+6),2,1),""))</f>
        <v/>
      </c>
      <c r="AY41" s="29" t="str">
        <f aca="false">IF(OR($C41="",$D41=""),"",IF(AND(AY$3&lt;=$D41,AY$3+6&gt;=$C41),IF(AND($D41&gt;=AY$3,$D41&lt;=AY$3+6),2,1),""))</f>
        <v/>
      </c>
      <c r="AZ41" s="29" t="str">
        <f aca="false">IF(OR($C41="",$D41=""),"",IF(AND(AZ$3&lt;=$D41,AZ$3+6&gt;=$C41),IF(AND($D41&gt;=AZ$3,$D41&lt;=AZ$3+6),2,1),""))</f>
        <v/>
      </c>
      <c r="BA41" s="29" t="str">
        <f aca="false">IF(OR($C41="",$D41=""),"",IF(AND(BA$3&lt;=$D41,BA$3+6&gt;=$C41),IF(AND($D41&gt;=BA$3,$D41&lt;=BA$3+6),2,1),""))</f>
        <v/>
      </c>
      <c r="BB41" s="29" t="str">
        <f aca="false">IF(OR($C41="",$D41=""),"",IF(AND(BB$3&lt;=$D41,BB$3+6&gt;=$C41),IF(AND($D41&gt;=BB$3,$D41&lt;=BB$3+6),2,1),""))</f>
        <v/>
      </c>
      <c r="BC41" s="29" t="str">
        <f aca="false">IF(OR($C41="",$D41=""),"",IF(AND(BC$3&lt;=$D41,BC$3+6&gt;=$C41),IF(AND($D41&gt;=BC$3,$D41&lt;=BC$3+6),2,1),""))</f>
        <v/>
      </c>
      <c r="BD41" s="29" t="str">
        <f aca="false">IF(OR($C41="",$D41=""),"",IF(AND(BD$3&lt;=$D41,BD$3+6&gt;=$C41),IF(AND($D41&gt;=BD$3,$D41&lt;=BD$3+6),2,1),""))</f>
        <v/>
      </c>
      <c r="BE41" s="29" t="str">
        <f aca="false">IF(OR($C41="",$D41=""),"",IF(AND(BE$3&lt;=$D41,BE$3+6&gt;=$C41),IF(AND($D41&gt;=BE$3,$D41&lt;=BE$3+6),2,1),""))</f>
        <v/>
      </c>
      <c r="BF41" s="29" t="str">
        <f aca="false">IF(OR($C41="",$D41=""),"",IF(AND(BF$3&lt;=$D41,BF$3+6&gt;=$C41),IF(AND($D41&gt;=BF$3,$D41&lt;=BF$3+6),2,1),""))</f>
        <v/>
      </c>
    </row>
    <row r="42" customFormat="false" ht="15" hidden="false" customHeight="true" outlineLevel="0" collapsed="false">
      <c r="A42" s="16" t="s">
        <v>299</v>
      </c>
      <c r="B42" s="27" t="str">
        <f aca="false">IFERROR(INDEX(Plan!$C$2:$C$400,MATCH($A42,Plan!$A$2:$A$400,0)),"")</f>
        <v>Multi-agent PR review in CI</v>
      </c>
      <c r="C42" s="28" t="n">
        <f aca="false">IFERROR(INDEX(Plan!$I$2:$I$400,MATCH($A42,Plan!$A$2:$A$400,0)),"")</f>
        <v>46419</v>
      </c>
      <c r="D42" s="28" t="n">
        <f aca="false">IFERROR(INDEX(Plan!$J$2:$J$400,MATCH($A42,Plan!$A$2:$A$400,0)),"")</f>
        <v>46444</v>
      </c>
      <c r="E42" s="29" t="str">
        <f aca="false">IF(OR($C42="",$D42=""),"",IF(AND(E$3&lt;=$D42,E$3+6&gt;=$C42),IF(AND($D42&gt;=E$3,$D42&lt;=E$3+6),2,1),""))</f>
        <v/>
      </c>
      <c r="F42" s="29" t="str">
        <f aca="false">IF(OR($C42="",$D42=""),"",IF(AND(F$3&lt;=$D42,F$3+6&gt;=$C42),IF(AND($D42&gt;=F$3,$D42&lt;=F$3+6),2,1),""))</f>
        <v/>
      </c>
      <c r="G42" s="29" t="str">
        <f aca="false">IF(OR($C42="",$D42=""),"",IF(AND(G$3&lt;=$D42,G$3+6&gt;=$C42),IF(AND($D42&gt;=G$3,$D42&lt;=G$3+6),2,1),""))</f>
        <v/>
      </c>
      <c r="H42" s="29" t="str">
        <f aca="false">IF(OR($C42="",$D42=""),"",IF(AND(H$3&lt;=$D42,H$3+6&gt;=$C42),IF(AND($D42&gt;=H$3,$D42&lt;=H$3+6),2,1),""))</f>
        <v/>
      </c>
      <c r="I42" s="29" t="str">
        <f aca="false">IF(OR($C42="",$D42=""),"",IF(AND(I$3&lt;=$D42,I$3+6&gt;=$C42),IF(AND($D42&gt;=I$3,$D42&lt;=I$3+6),2,1),""))</f>
        <v/>
      </c>
      <c r="J42" s="29" t="str">
        <f aca="false">IF(OR($C42="",$D42=""),"",IF(AND(J$3&lt;=$D42,J$3+6&gt;=$C42),IF(AND($D42&gt;=J$3,$D42&lt;=J$3+6),2,1),""))</f>
        <v/>
      </c>
      <c r="K42" s="29" t="str">
        <f aca="false">IF(OR($C42="",$D42=""),"",IF(AND(K$3&lt;=$D42,K$3+6&gt;=$C42),IF(AND($D42&gt;=K$3,$D42&lt;=K$3+6),2,1),""))</f>
        <v/>
      </c>
      <c r="L42" s="29" t="str">
        <f aca="false">IF(OR($C42="",$D42=""),"",IF(AND(L$3&lt;=$D42,L$3+6&gt;=$C42),IF(AND($D42&gt;=L$3,$D42&lt;=L$3+6),2,1),""))</f>
        <v/>
      </c>
      <c r="M42" s="29" t="str">
        <f aca="false">IF(OR($C42="",$D42=""),"",IF(AND(M$3&lt;=$D42,M$3+6&gt;=$C42),IF(AND($D42&gt;=M$3,$D42&lt;=M$3+6),2,1),""))</f>
        <v/>
      </c>
      <c r="N42" s="29" t="str">
        <f aca="false">IF(OR($C42="",$D42=""),"",IF(AND(N$3&lt;=$D42,N$3+6&gt;=$C42),IF(AND($D42&gt;=N$3,$D42&lt;=N$3+6),2,1),""))</f>
        <v/>
      </c>
      <c r="O42" s="29" t="str">
        <f aca="false">IF(OR($C42="",$D42=""),"",IF(AND(O$3&lt;=$D42,O$3+6&gt;=$C42),IF(AND($D42&gt;=O$3,$D42&lt;=O$3+6),2,1),""))</f>
        <v/>
      </c>
      <c r="P42" s="29" t="str">
        <f aca="false">IF(OR($C42="",$D42=""),"",IF(AND(P$3&lt;=$D42,P$3+6&gt;=$C42),IF(AND($D42&gt;=P$3,$D42&lt;=P$3+6),2,1),""))</f>
        <v/>
      </c>
      <c r="Q42" s="29" t="str">
        <f aca="false">IF(OR($C42="",$D42=""),"",IF(AND(Q$3&lt;=$D42,Q$3+6&gt;=$C42),IF(AND($D42&gt;=Q$3,$D42&lt;=Q$3+6),2,1),""))</f>
        <v/>
      </c>
      <c r="R42" s="29" t="str">
        <f aca="false">IF(OR($C42="",$D42=""),"",IF(AND(R$3&lt;=$D42,R$3+6&gt;=$C42),IF(AND($D42&gt;=R$3,$D42&lt;=R$3+6),2,1),""))</f>
        <v/>
      </c>
      <c r="S42" s="29" t="n">
        <f aca="false">IF(OR($C42="",$D42=""),"",IF(AND(S$3&lt;=$D42,S$3+6&gt;=$C42),IF(AND($D42&gt;=S$3,$D42&lt;=S$3+6),2,1),""))</f>
        <v>1</v>
      </c>
      <c r="T42" s="29" t="n">
        <f aca="false">IF(OR($C42="",$D42=""),"",IF(AND(T$3&lt;=$D42,T$3+6&gt;=$C42),IF(AND($D42&gt;=T$3,$D42&lt;=T$3+6),2,1),""))</f>
        <v>1</v>
      </c>
      <c r="U42" s="29" t="n">
        <f aca="false">IF(OR($C42="",$D42=""),"",IF(AND(U$3&lt;=$D42,U$3+6&gt;=$C42),IF(AND($D42&gt;=U$3,$D42&lt;=U$3+6),2,1),""))</f>
        <v>1</v>
      </c>
      <c r="V42" s="29" t="n">
        <f aca="false">IF(OR($C42="",$D42=""),"",IF(AND(V$3&lt;=$D42,V$3+6&gt;=$C42),IF(AND($D42&gt;=V$3,$D42&lt;=V$3+6),2,1),""))</f>
        <v>2</v>
      </c>
      <c r="W42" s="29" t="str">
        <f aca="false">IF(OR($C42="",$D42=""),"",IF(AND(W$3&lt;=$D42,W$3+6&gt;=$C42),IF(AND($D42&gt;=W$3,$D42&lt;=W$3+6),2,1),""))</f>
        <v/>
      </c>
      <c r="X42" s="29" t="str">
        <f aca="false">IF(OR($C42="",$D42=""),"",IF(AND(X$3&lt;=$D42,X$3+6&gt;=$C42),IF(AND($D42&gt;=X$3,$D42&lt;=X$3+6),2,1),""))</f>
        <v/>
      </c>
      <c r="Y42" s="29" t="str">
        <f aca="false">IF(OR($C42="",$D42=""),"",IF(AND(Y$3&lt;=$D42,Y$3+6&gt;=$C42),IF(AND($D42&gt;=Y$3,$D42&lt;=Y$3+6),2,1),""))</f>
        <v/>
      </c>
      <c r="Z42" s="29" t="str">
        <f aca="false">IF(OR($C42="",$D42=""),"",IF(AND(Z$3&lt;=$D42,Z$3+6&gt;=$C42),IF(AND($D42&gt;=Z$3,$D42&lt;=Z$3+6),2,1),""))</f>
        <v/>
      </c>
      <c r="AA42" s="29" t="str">
        <f aca="false">IF(OR($C42="",$D42=""),"",IF(AND(AA$3&lt;=$D42,AA$3+6&gt;=$C42),IF(AND($D42&gt;=AA$3,$D42&lt;=AA$3+6),2,1),""))</f>
        <v/>
      </c>
      <c r="AB42" s="29" t="str">
        <f aca="false">IF(OR($C42="",$D42=""),"",IF(AND(AB$3&lt;=$D42,AB$3+6&gt;=$C42),IF(AND($D42&gt;=AB$3,$D42&lt;=AB$3+6),2,1),""))</f>
        <v/>
      </c>
      <c r="AC42" s="29" t="str">
        <f aca="false">IF(OR($C42="",$D42=""),"",IF(AND(AC$3&lt;=$D42,AC$3+6&gt;=$C42),IF(AND($D42&gt;=AC$3,$D42&lt;=AC$3+6),2,1),""))</f>
        <v/>
      </c>
      <c r="AD42" s="29" t="str">
        <f aca="false">IF(OR($C42="",$D42=""),"",IF(AND(AD$3&lt;=$D42,AD$3+6&gt;=$C42),IF(AND($D42&gt;=AD$3,$D42&lt;=AD$3+6),2,1),""))</f>
        <v/>
      </c>
      <c r="AE42" s="29" t="str">
        <f aca="false">IF(OR($C42="",$D42=""),"",IF(AND(AE$3&lt;=$D42,AE$3+6&gt;=$C42),IF(AND($D42&gt;=AE$3,$D42&lt;=AE$3+6),2,1),""))</f>
        <v/>
      </c>
      <c r="AF42" s="29" t="str">
        <f aca="false">IF(OR($C42="",$D42=""),"",IF(AND(AF$3&lt;=$D42,AF$3+6&gt;=$C42),IF(AND($D42&gt;=AF$3,$D42&lt;=AF$3+6),2,1),""))</f>
        <v/>
      </c>
      <c r="AG42" s="29" t="str">
        <f aca="false">IF(OR($C42="",$D42=""),"",IF(AND(AG$3&lt;=$D42,AG$3+6&gt;=$C42),IF(AND($D42&gt;=AG$3,$D42&lt;=AG$3+6),2,1),""))</f>
        <v/>
      </c>
      <c r="AH42" s="29" t="str">
        <f aca="false">IF(OR($C42="",$D42=""),"",IF(AND(AH$3&lt;=$D42,AH$3+6&gt;=$C42),IF(AND($D42&gt;=AH$3,$D42&lt;=AH$3+6),2,1),""))</f>
        <v/>
      </c>
      <c r="AI42" s="29" t="str">
        <f aca="false">IF(OR($C42="",$D42=""),"",IF(AND(AI$3&lt;=$D42,AI$3+6&gt;=$C42),IF(AND($D42&gt;=AI$3,$D42&lt;=AI$3+6),2,1),""))</f>
        <v/>
      </c>
      <c r="AJ42" s="29" t="str">
        <f aca="false">IF(OR($C42="",$D42=""),"",IF(AND(AJ$3&lt;=$D42,AJ$3+6&gt;=$C42),IF(AND($D42&gt;=AJ$3,$D42&lt;=AJ$3+6),2,1),""))</f>
        <v/>
      </c>
      <c r="AK42" s="29" t="str">
        <f aca="false">IF(OR($C42="",$D42=""),"",IF(AND(AK$3&lt;=$D42,AK$3+6&gt;=$C42),IF(AND($D42&gt;=AK$3,$D42&lt;=AK$3+6),2,1),""))</f>
        <v/>
      </c>
      <c r="AL42" s="29" t="str">
        <f aca="false">IF(OR($C42="",$D42=""),"",IF(AND(AL$3&lt;=$D42,AL$3+6&gt;=$C42),IF(AND($D42&gt;=AL$3,$D42&lt;=AL$3+6),2,1),""))</f>
        <v/>
      </c>
      <c r="AM42" s="29" t="str">
        <f aca="false">IF(OR($C42="",$D42=""),"",IF(AND(AM$3&lt;=$D42,AM$3+6&gt;=$C42),IF(AND($D42&gt;=AM$3,$D42&lt;=AM$3+6),2,1),""))</f>
        <v/>
      </c>
      <c r="AN42" s="29" t="str">
        <f aca="false">IF(OR($C42="",$D42=""),"",IF(AND(AN$3&lt;=$D42,AN$3+6&gt;=$C42),IF(AND($D42&gt;=AN$3,$D42&lt;=AN$3+6),2,1),""))</f>
        <v/>
      </c>
      <c r="AO42" s="29" t="str">
        <f aca="false">IF(OR($C42="",$D42=""),"",IF(AND(AO$3&lt;=$D42,AO$3+6&gt;=$C42),IF(AND($D42&gt;=AO$3,$D42&lt;=AO$3+6),2,1),""))</f>
        <v/>
      </c>
      <c r="AP42" s="29" t="str">
        <f aca="false">IF(OR($C42="",$D42=""),"",IF(AND(AP$3&lt;=$D42,AP$3+6&gt;=$C42),IF(AND($D42&gt;=AP$3,$D42&lt;=AP$3+6),2,1),""))</f>
        <v/>
      </c>
      <c r="AQ42" s="29" t="str">
        <f aca="false">IF(OR($C42="",$D42=""),"",IF(AND(AQ$3&lt;=$D42,AQ$3+6&gt;=$C42),IF(AND($D42&gt;=AQ$3,$D42&lt;=AQ$3+6),2,1),""))</f>
        <v/>
      </c>
      <c r="AR42" s="29" t="str">
        <f aca="false">IF(OR($C42="",$D42=""),"",IF(AND(AR$3&lt;=$D42,AR$3+6&gt;=$C42),IF(AND($D42&gt;=AR$3,$D42&lt;=AR$3+6),2,1),""))</f>
        <v/>
      </c>
      <c r="AS42" s="29" t="str">
        <f aca="false">IF(OR($C42="",$D42=""),"",IF(AND(AS$3&lt;=$D42,AS$3+6&gt;=$C42),IF(AND($D42&gt;=AS$3,$D42&lt;=AS$3+6),2,1),""))</f>
        <v/>
      </c>
      <c r="AT42" s="29" t="str">
        <f aca="false">IF(OR($C42="",$D42=""),"",IF(AND(AT$3&lt;=$D42,AT$3+6&gt;=$C42),IF(AND($D42&gt;=AT$3,$D42&lt;=AT$3+6),2,1),""))</f>
        <v/>
      </c>
      <c r="AU42" s="29" t="str">
        <f aca="false">IF(OR($C42="",$D42=""),"",IF(AND(AU$3&lt;=$D42,AU$3+6&gt;=$C42),IF(AND($D42&gt;=AU$3,$D42&lt;=AU$3+6),2,1),""))</f>
        <v/>
      </c>
      <c r="AV42" s="29" t="str">
        <f aca="false">IF(OR($C42="",$D42=""),"",IF(AND(AV$3&lt;=$D42,AV$3+6&gt;=$C42),IF(AND($D42&gt;=AV$3,$D42&lt;=AV$3+6),2,1),""))</f>
        <v/>
      </c>
      <c r="AW42" s="29" t="str">
        <f aca="false">IF(OR($C42="",$D42=""),"",IF(AND(AW$3&lt;=$D42,AW$3+6&gt;=$C42),IF(AND($D42&gt;=AW$3,$D42&lt;=AW$3+6),2,1),""))</f>
        <v/>
      </c>
      <c r="AX42" s="29" t="str">
        <f aca="false">IF(OR($C42="",$D42=""),"",IF(AND(AX$3&lt;=$D42,AX$3+6&gt;=$C42),IF(AND($D42&gt;=AX$3,$D42&lt;=AX$3+6),2,1),""))</f>
        <v/>
      </c>
      <c r="AY42" s="29" t="str">
        <f aca="false">IF(OR($C42="",$D42=""),"",IF(AND(AY$3&lt;=$D42,AY$3+6&gt;=$C42),IF(AND($D42&gt;=AY$3,$D42&lt;=AY$3+6),2,1),""))</f>
        <v/>
      </c>
      <c r="AZ42" s="29" t="str">
        <f aca="false">IF(OR($C42="",$D42=""),"",IF(AND(AZ$3&lt;=$D42,AZ$3+6&gt;=$C42),IF(AND($D42&gt;=AZ$3,$D42&lt;=AZ$3+6),2,1),""))</f>
        <v/>
      </c>
      <c r="BA42" s="29" t="str">
        <f aca="false">IF(OR($C42="",$D42=""),"",IF(AND(BA$3&lt;=$D42,BA$3+6&gt;=$C42),IF(AND($D42&gt;=BA$3,$D42&lt;=BA$3+6),2,1),""))</f>
        <v/>
      </c>
      <c r="BB42" s="29" t="str">
        <f aca="false">IF(OR($C42="",$D42=""),"",IF(AND(BB$3&lt;=$D42,BB$3+6&gt;=$C42),IF(AND($D42&gt;=BB$3,$D42&lt;=BB$3+6),2,1),""))</f>
        <v/>
      </c>
      <c r="BC42" s="29" t="str">
        <f aca="false">IF(OR($C42="",$D42=""),"",IF(AND(BC$3&lt;=$D42,BC$3+6&gt;=$C42),IF(AND($D42&gt;=BC$3,$D42&lt;=BC$3+6),2,1),""))</f>
        <v/>
      </c>
      <c r="BD42" s="29" t="str">
        <f aca="false">IF(OR($C42="",$D42=""),"",IF(AND(BD$3&lt;=$D42,BD$3+6&gt;=$C42),IF(AND($D42&gt;=BD$3,$D42&lt;=BD$3+6),2,1),""))</f>
        <v/>
      </c>
      <c r="BE42" s="29" t="str">
        <f aca="false">IF(OR($C42="",$D42=""),"",IF(AND(BE$3&lt;=$D42,BE$3+6&gt;=$C42),IF(AND($D42&gt;=BE$3,$D42&lt;=BE$3+6),2,1),""))</f>
        <v/>
      </c>
      <c r="BF42" s="29" t="str">
        <f aca="false">IF(OR($C42="",$D42=""),"",IF(AND(BF$3&lt;=$D42,BF$3+6&gt;=$C42),IF(AND($D42&gt;=BF$3,$D42&lt;=BF$3+6),2,1),""))</f>
        <v/>
      </c>
    </row>
    <row r="43" customFormat="false" ht="15" hidden="false" customHeight="true" outlineLevel="0" collapsed="false">
      <c r="A43" s="16" t="s">
        <v>305</v>
      </c>
      <c r="B43" s="27" t="str">
        <f aca="false">IFERROR(INDEX(Plan!$C$2:$C$400,MATCH($A43,Plan!$A$2:$A$400,0)),"")</f>
        <v>Release agent up to staging</v>
      </c>
      <c r="C43" s="28" t="n">
        <f aca="false">IFERROR(INDEX(Plan!$I$2:$I$400,MATCH($A43,Plan!$A$2:$A$400,0)),"")</f>
        <v>46447</v>
      </c>
      <c r="D43" s="28" t="n">
        <f aca="false">IFERROR(INDEX(Plan!$J$2:$J$400,MATCH($A43,Plan!$A$2:$A$400,0)),"")</f>
        <v>46472</v>
      </c>
      <c r="E43" s="29" t="str">
        <f aca="false">IF(OR($C43="",$D43=""),"",IF(AND(E$3&lt;=$D43,E$3+6&gt;=$C43),IF(AND($D43&gt;=E$3,$D43&lt;=E$3+6),2,1),""))</f>
        <v/>
      </c>
      <c r="F43" s="29" t="str">
        <f aca="false">IF(OR($C43="",$D43=""),"",IF(AND(F$3&lt;=$D43,F$3+6&gt;=$C43),IF(AND($D43&gt;=F$3,$D43&lt;=F$3+6),2,1),""))</f>
        <v/>
      </c>
      <c r="G43" s="29" t="str">
        <f aca="false">IF(OR($C43="",$D43=""),"",IF(AND(G$3&lt;=$D43,G$3+6&gt;=$C43),IF(AND($D43&gt;=G$3,$D43&lt;=G$3+6),2,1),""))</f>
        <v/>
      </c>
      <c r="H43" s="29" t="str">
        <f aca="false">IF(OR($C43="",$D43=""),"",IF(AND(H$3&lt;=$D43,H$3+6&gt;=$C43),IF(AND($D43&gt;=H$3,$D43&lt;=H$3+6),2,1),""))</f>
        <v/>
      </c>
      <c r="I43" s="29" t="str">
        <f aca="false">IF(OR($C43="",$D43=""),"",IF(AND(I$3&lt;=$D43,I$3+6&gt;=$C43),IF(AND($D43&gt;=I$3,$D43&lt;=I$3+6),2,1),""))</f>
        <v/>
      </c>
      <c r="J43" s="29" t="str">
        <f aca="false">IF(OR($C43="",$D43=""),"",IF(AND(J$3&lt;=$D43,J$3+6&gt;=$C43),IF(AND($D43&gt;=J$3,$D43&lt;=J$3+6),2,1),""))</f>
        <v/>
      </c>
      <c r="K43" s="29" t="str">
        <f aca="false">IF(OR($C43="",$D43=""),"",IF(AND(K$3&lt;=$D43,K$3+6&gt;=$C43),IF(AND($D43&gt;=K$3,$D43&lt;=K$3+6),2,1),""))</f>
        <v/>
      </c>
      <c r="L43" s="29" t="str">
        <f aca="false">IF(OR($C43="",$D43=""),"",IF(AND(L$3&lt;=$D43,L$3+6&gt;=$C43),IF(AND($D43&gt;=L$3,$D43&lt;=L$3+6),2,1),""))</f>
        <v/>
      </c>
      <c r="M43" s="29" t="str">
        <f aca="false">IF(OR($C43="",$D43=""),"",IF(AND(M$3&lt;=$D43,M$3+6&gt;=$C43),IF(AND($D43&gt;=M$3,$D43&lt;=M$3+6),2,1),""))</f>
        <v/>
      </c>
      <c r="N43" s="29" t="str">
        <f aca="false">IF(OR($C43="",$D43=""),"",IF(AND(N$3&lt;=$D43,N$3+6&gt;=$C43),IF(AND($D43&gt;=N$3,$D43&lt;=N$3+6),2,1),""))</f>
        <v/>
      </c>
      <c r="O43" s="29" t="str">
        <f aca="false">IF(OR($C43="",$D43=""),"",IF(AND(O$3&lt;=$D43,O$3+6&gt;=$C43),IF(AND($D43&gt;=O$3,$D43&lt;=O$3+6),2,1),""))</f>
        <v/>
      </c>
      <c r="P43" s="29" t="str">
        <f aca="false">IF(OR($C43="",$D43=""),"",IF(AND(P$3&lt;=$D43,P$3+6&gt;=$C43),IF(AND($D43&gt;=P$3,$D43&lt;=P$3+6),2,1),""))</f>
        <v/>
      </c>
      <c r="Q43" s="29" t="str">
        <f aca="false">IF(OR($C43="",$D43=""),"",IF(AND(Q$3&lt;=$D43,Q$3+6&gt;=$C43),IF(AND($D43&gt;=Q$3,$D43&lt;=Q$3+6),2,1),""))</f>
        <v/>
      </c>
      <c r="R43" s="29" t="str">
        <f aca="false">IF(OR($C43="",$D43=""),"",IF(AND(R$3&lt;=$D43,R$3+6&gt;=$C43),IF(AND($D43&gt;=R$3,$D43&lt;=R$3+6),2,1),""))</f>
        <v/>
      </c>
      <c r="S43" s="29" t="str">
        <f aca="false">IF(OR($C43="",$D43=""),"",IF(AND(S$3&lt;=$D43,S$3+6&gt;=$C43),IF(AND($D43&gt;=S$3,$D43&lt;=S$3+6),2,1),""))</f>
        <v/>
      </c>
      <c r="T43" s="29" t="str">
        <f aca="false">IF(OR($C43="",$D43=""),"",IF(AND(T$3&lt;=$D43,T$3+6&gt;=$C43),IF(AND($D43&gt;=T$3,$D43&lt;=T$3+6),2,1),""))</f>
        <v/>
      </c>
      <c r="U43" s="29" t="str">
        <f aca="false">IF(OR($C43="",$D43=""),"",IF(AND(U$3&lt;=$D43,U$3+6&gt;=$C43),IF(AND($D43&gt;=U$3,$D43&lt;=U$3+6),2,1),""))</f>
        <v/>
      </c>
      <c r="V43" s="29" t="str">
        <f aca="false">IF(OR($C43="",$D43=""),"",IF(AND(V$3&lt;=$D43,V$3+6&gt;=$C43),IF(AND($D43&gt;=V$3,$D43&lt;=V$3+6),2,1),""))</f>
        <v/>
      </c>
      <c r="W43" s="29" t="n">
        <f aca="false">IF(OR($C43="",$D43=""),"",IF(AND(W$3&lt;=$D43,W$3+6&gt;=$C43),IF(AND($D43&gt;=W$3,$D43&lt;=W$3+6),2,1),""))</f>
        <v>1</v>
      </c>
      <c r="X43" s="29" t="n">
        <f aca="false">IF(OR($C43="",$D43=""),"",IF(AND(X$3&lt;=$D43,X$3+6&gt;=$C43),IF(AND($D43&gt;=X$3,$D43&lt;=X$3+6),2,1),""))</f>
        <v>1</v>
      </c>
      <c r="Y43" s="29" t="n">
        <f aca="false">IF(OR($C43="",$D43=""),"",IF(AND(Y$3&lt;=$D43,Y$3+6&gt;=$C43),IF(AND($D43&gt;=Y$3,$D43&lt;=Y$3+6),2,1),""))</f>
        <v>1</v>
      </c>
      <c r="Z43" s="29" t="n">
        <f aca="false">IF(OR($C43="",$D43=""),"",IF(AND(Z$3&lt;=$D43,Z$3+6&gt;=$C43),IF(AND($D43&gt;=Z$3,$D43&lt;=Z$3+6),2,1),""))</f>
        <v>2</v>
      </c>
      <c r="AA43" s="29" t="str">
        <f aca="false">IF(OR($C43="",$D43=""),"",IF(AND(AA$3&lt;=$D43,AA$3+6&gt;=$C43),IF(AND($D43&gt;=AA$3,$D43&lt;=AA$3+6),2,1),""))</f>
        <v/>
      </c>
      <c r="AB43" s="29" t="str">
        <f aca="false">IF(OR($C43="",$D43=""),"",IF(AND(AB$3&lt;=$D43,AB$3+6&gt;=$C43),IF(AND($D43&gt;=AB$3,$D43&lt;=AB$3+6),2,1),""))</f>
        <v/>
      </c>
      <c r="AC43" s="29" t="str">
        <f aca="false">IF(OR($C43="",$D43=""),"",IF(AND(AC$3&lt;=$D43,AC$3+6&gt;=$C43),IF(AND($D43&gt;=AC$3,$D43&lt;=AC$3+6),2,1),""))</f>
        <v/>
      </c>
      <c r="AD43" s="29" t="str">
        <f aca="false">IF(OR($C43="",$D43=""),"",IF(AND(AD$3&lt;=$D43,AD$3+6&gt;=$C43),IF(AND($D43&gt;=AD$3,$D43&lt;=AD$3+6),2,1),""))</f>
        <v/>
      </c>
      <c r="AE43" s="29" t="str">
        <f aca="false">IF(OR($C43="",$D43=""),"",IF(AND(AE$3&lt;=$D43,AE$3+6&gt;=$C43),IF(AND($D43&gt;=AE$3,$D43&lt;=AE$3+6),2,1),""))</f>
        <v/>
      </c>
      <c r="AF43" s="29" t="str">
        <f aca="false">IF(OR($C43="",$D43=""),"",IF(AND(AF$3&lt;=$D43,AF$3+6&gt;=$C43),IF(AND($D43&gt;=AF$3,$D43&lt;=AF$3+6),2,1),""))</f>
        <v/>
      </c>
      <c r="AG43" s="29" t="str">
        <f aca="false">IF(OR($C43="",$D43=""),"",IF(AND(AG$3&lt;=$D43,AG$3+6&gt;=$C43),IF(AND($D43&gt;=AG$3,$D43&lt;=AG$3+6),2,1),""))</f>
        <v/>
      </c>
      <c r="AH43" s="29" t="str">
        <f aca="false">IF(OR($C43="",$D43=""),"",IF(AND(AH$3&lt;=$D43,AH$3+6&gt;=$C43),IF(AND($D43&gt;=AH$3,$D43&lt;=AH$3+6),2,1),""))</f>
        <v/>
      </c>
      <c r="AI43" s="29" t="str">
        <f aca="false">IF(OR($C43="",$D43=""),"",IF(AND(AI$3&lt;=$D43,AI$3+6&gt;=$C43),IF(AND($D43&gt;=AI$3,$D43&lt;=AI$3+6),2,1),""))</f>
        <v/>
      </c>
      <c r="AJ43" s="29" t="str">
        <f aca="false">IF(OR($C43="",$D43=""),"",IF(AND(AJ$3&lt;=$D43,AJ$3+6&gt;=$C43),IF(AND($D43&gt;=AJ$3,$D43&lt;=AJ$3+6),2,1),""))</f>
        <v/>
      </c>
      <c r="AK43" s="29" t="str">
        <f aca="false">IF(OR($C43="",$D43=""),"",IF(AND(AK$3&lt;=$D43,AK$3+6&gt;=$C43),IF(AND($D43&gt;=AK$3,$D43&lt;=AK$3+6),2,1),""))</f>
        <v/>
      </c>
      <c r="AL43" s="29" t="str">
        <f aca="false">IF(OR($C43="",$D43=""),"",IF(AND(AL$3&lt;=$D43,AL$3+6&gt;=$C43),IF(AND($D43&gt;=AL$3,$D43&lt;=AL$3+6),2,1),""))</f>
        <v/>
      </c>
      <c r="AM43" s="29" t="str">
        <f aca="false">IF(OR($C43="",$D43=""),"",IF(AND(AM$3&lt;=$D43,AM$3+6&gt;=$C43),IF(AND($D43&gt;=AM$3,$D43&lt;=AM$3+6),2,1),""))</f>
        <v/>
      </c>
      <c r="AN43" s="29" t="str">
        <f aca="false">IF(OR($C43="",$D43=""),"",IF(AND(AN$3&lt;=$D43,AN$3+6&gt;=$C43),IF(AND($D43&gt;=AN$3,$D43&lt;=AN$3+6),2,1),""))</f>
        <v/>
      </c>
      <c r="AO43" s="29" t="str">
        <f aca="false">IF(OR($C43="",$D43=""),"",IF(AND(AO$3&lt;=$D43,AO$3+6&gt;=$C43),IF(AND($D43&gt;=AO$3,$D43&lt;=AO$3+6),2,1),""))</f>
        <v/>
      </c>
      <c r="AP43" s="29" t="str">
        <f aca="false">IF(OR($C43="",$D43=""),"",IF(AND(AP$3&lt;=$D43,AP$3+6&gt;=$C43),IF(AND($D43&gt;=AP$3,$D43&lt;=AP$3+6),2,1),""))</f>
        <v/>
      </c>
      <c r="AQ43" s="29" t="str">
        <f aca="false">IF(OR($C43="",$D43=""),"",IF(AND(AQ$3&lt;=$D43,AQ$3+6&gt;=$C43),IF(AND($D43&gt;=AQ$3,$D43&lt;=AQ$3+6),2,1),""))</f>
        <v/>
      </c>
      <c r="AR43" s="29" t="str">
        <f aca="false">IF(OR($C43="",$D43=""),"",IF(AND(AR$3&lt;=$D43,AR$3+6&gt;=$C43),IF(AND($D43&gt;=AR$3,$D43&lt;=AR$3+6),2,1),""))</f>
        <v/>
      </c>
      <c r="AS43" s="29" t="str">
        <f aca="false">IF(OR($C43="",$D43=""),"",IF(AND(AS$3&lt;=$D43,AS$3+6&gt;=$C43),IF(AND($D43&gt;=AS$3,$D43&lt;=AS$3+6),2,1),""))</f>
        <v/>
      </c>
      <c r="AT43" s="29" t="str">
        <f aca="false">IF(OR($C43="",$D43=""),"",IF(AND(AT$3&lt;=$D43,AT$3+6&gt;=$C43),IF(AND($D43&gt;=AT$3,$D43&lt;=AT$3+6),2,1),""))</f>
        <v/>
      </c>
      <c r="AU43" s="29" t="str">
        <f aca="false">IF(OR($C43="",$D43=""),"",IF(AND(AU$3&lt;=$D43,AU$3+6&gt;=$C43),IF(AND($D43&gt;=AU$3,$D43&lt;=AU$3+6),2,1),""))</f>
        <v/>
      </c>
      <c r="AV43" s="29" t="str">
        <f aca="false">IF(OR($C43="",$D43=""),"",IF(AND(AV$3&lt;=$D43,AV$3+6&gt;=$C43),IF(AND($D43&gt;=AV$3,$D43&lt;=AV$3+6),2,1),""))</f>
        <v/>
      </c>
      <c r="AW43" s="29" t="str">
        <f aca="false">IF(OR($C43="",$D43=""),"",IF(AND(AW$3&lt;=$D43,AW$3+6&gt;=$C43),IF(AND($D43&gt;=AW$3,$D43&lt;=AW$3+6),2,1),""))</f>
        <v/>
      </c>
      <c r="AX43" s="29" t="str">
        <f aca="false">IF(OR($C43="",$D43=""),"",IF(AND(AX$3&lt;=$D43,AX$3+6&gt;=$C43),IF(AND($D43&gt;=AX$3,$D43&lt;=AX$3+6),2,1),""))</f>
        <v/>
      </c>
      <c r="AY43" s="29" t="str">
        <f aca="false">IF(OR($C43="",$D43=""),"",IF(AND(AY$3&lt;=$D43,AY$3+6&gt;=$C43),IF(AND($D43&gt;=AY$3,$D43&lt;=AY$3+6),2,1),""))</f>
        <v/>
      </c>
      <c r="AZ43" s="29" t="str">
        <f aca="false">IF(OR($C43="",$D43=""),"",IF(AND(AZ$3&lt;=$D43,AZ$3+6&gt;=$C43),IF(AND($D43&gt;=AZ$3,$D43&lt;=AZ$3+6),2,1),""))</f>
        <v/>
      </c>
      <c r="BA43" s="29" t="str">
        <f aca="false">IF(OR($C43="",$D43=""),"",IF(AND(BA$3&lt;=$D43,BA$3+6&gt;=$C43),IF(AND($D43&gt;=BA$3,$D43&lt;=BA$3+6),2,1),""))</f>
        <v/>
      </c>
      <c r="BB43" s="29" t="str">
        <f aca="false">IF(OR($C43="",$D43=""),"",IF(AND(BB$3&lt;=$D43,BB$3+6&gt;=$C43),IF(AND($D43&gt;=BB$3,$D43&lt;=BB$3+6),2,1),""))</f>
        <v/>
      </c>
      <c r="BC43" s="29" t="str">
        <f aca="false">IF(OR($C43="",$D43=""),"",IF(AND(BC$3&lt;=$D43,BC$3+6&gt;=$C43),IF(AND($D43&gt;=BC$3,$D43&lt;=BC$3+6),2,1),""))</f>
        <v/>
      </c>
      <c r="BD43" s="29" t="str">
        <f aca="false">IF(OR($C43="",$D43=""),"",IF(AND(BD$3&lt;=$D43,BD$3+6&gt;=$C43),IF(AND($D43&gt;=BD$3,$D43&lt;=BD$3+6),2,1),""))</f>
        <v/>
      </c>
      <c r="BE43" s="29" t="str">
        <f aca="false">IF(OR($C43="",$D43=""),"",IF(AND(BE$3&lt;=$D43,BE$3+6&gt;=$C43),IF(AND($D43&gt;=BE$3,$D43&lt;=BE$3+6),2,1),""))</f>
        <v/>
      </c>
      <c r="BF43" s="29" t="str">
        <f aca="false">IF(OR($C43="",$D43=""),"",IF(AND(BF$3&lt;=$D43,BF$3+6&gt;=$C43),IF(AND($D43&gt;=BF$3,$D43&lt;=BF$3+6),2,1),""))</f>
        <v/>
      </c>
    </row>
    <row r="44" customFormat="false" ht="15" hidden="false" customHeight="true" outlineLevel="0" collapsed="false">
      <c r="A44" s="16" t="s">
        <v>311</v>
      </c>
      <c r="B44" s="27" t="str">
        <f aca="false">IFERROR(INDEX(Plan!$C$2:$C$400,MATCH($A44,Plan!$A$2:$A$400,0)),"")</f>
        <v>Autonomy stage 3 for the standard class</v>
      </c>
      <c r="C44" s="28" t="n">
        <f aca="false">IFERROR(INDEX(Plan!$I$2:$I$400,MATCH($A44,Plan!$A$2:$A$400,0)),"")</f>
        <v>46475</v>
      </c>
      <c r="D44" s="28" t="n">
        <f aca="false">IFERROR(INDEX(Plan!$J$2:$J$400,MATCH($A44,Plan!$A$2:$A$400,0)),"")</f>
        <v>46507</v>
      </c>
      <c r="E44" s="29" t="str">
        <f aca="false">IF(OR($C44="",$D44=""),"",IF(AND(E$3&lt;=$D44,E$3+6&gt;=$C44),IF(AND($D44&gt;=E$3,$D44&lt;=E$3+6),2,1),""))</f>
        <v/>
      </c>
      <c r="F44" s="29" t="str">
        <f aca="false">IF(OR($C44="",$D44=""),"",IF(AND(F$3&lt;=$D44,F$3+6&gt;=$C44),IF(AND($D44&gt;=F$3,$D44&lt;=F$3+6),2,1),""))</f>
        <v/>
      </c>
      <c r="G44" s="29" t="str">
        <f aca="false">IF(OR($C44="",$D44=""),"",IF(AND(G$3&lt;=$D44,G$3+6&gt;=$C44),IF(AND($D44&gt;=G$3,$D44&lt;=G$3+6),2,1),""))</f>
        <v/>
      </c>
      <c r="H44" s="29" t="str">
        <f aca="false">IF(OR($C44="",$D44=""),"",IF(AND(H$3&lt;=$D44,H$3+6&gt;=$C44),IF(AND($D44&gt;=H$3,$D44&lt;=H$3+6),2,1),""))</f>
        <v/>
      </c>
      <c r="I44" s="29" t="str">
        <f aca="false">IF(OR($C44="",$D44=""),"",IF(AND(I$3&lt;=$D44,I$3+6&gt;=$C44),IF(AND($D44&gt;=I$3,$D44&lt;=I$3+6),2,1),""))</f>
        <v/>
      </c>
      <c r="J44" s="29" t="str">
        <f aca="false">IF(OR($C44="",$D44=""),"",IF(AND(J$3&lt;=$D44,J$3+6&gt;=$C44),IF(AND($D44&gt;=J$3,$D44&lt;=J$3+6),2,1),""))</f>
        <v/>
      </c>
      <c r="K44" s="29" t="str">
        <f aca="false">IF(OR($C44="",$D44=""),"",IF(AND(K$3&lt;=$D44,K$3+6&gt;=$C44),IF(AND($D44&gt;=K$3,$D44&lt;=K$3+6),2,1),""))</f>
        <v/>
      </c>
      <c r="L44" s="29" t="str">
        <f aca="false">IF(OR($C44="",$D44=""),"",IF(AND(L$3&lt;=$D44,L$3+6&gt;=$C44),IF(AND($D44&gt;=L$3,$D44&lt;=L$3+6),2,1),""))</f>
        <v/>
      </c>
      <c r="M44" s="29" t="str">
        <f aca="false">IF(OR($C44="",$D44=""),"",IF(AND(M$3&lt;=$D44,M$3+6&gt;=$C44),IF(AND($D44&gt;=M$3,$D44&lt;=M$3+6),2,1),""))</f>
        <v/>
      </c>
      <c r="N44" s="29" t="str">
        <f aca="false">IF(OR($C44="",$D44=""),"",IF(AND(N$3&lt;=$D44,N$3+6&gt;=$C44),IF(AND($D44&gt;=N$3,$D44&lt;=N$3+6),2,1),""))</f>
        <v/>
      </c>
      <c r="O44" s="29" t="str">
        <f aca="false">IF(OR($C44="",$D44=""),"",IF(AND(O$3&lt;=$D44,O$3+6&gt;=$C44),IF(AND($D44&gt;=O$3,$D44&lt;=O$3+6),2,1),""))</f>
        <v/>
      </c>
      <c r="P44" s="29" t="str">
        <f aca="false">IF(OR($C44="",$D44=""),"",IF(AND(P$3&lt;=$D44,P$3+6&gt;=$C44),IF(AND($D44&gt;=P$3,$D44&lt;=P$3+6),2,1),""))</f>
        <v/>
      </c>
      <c r="Q44" s="29" t="str">
        <f aca="false">IF(OR($C44="",$D44=""),"",IF(AND(Q$3&lt;=$D44,Q$3+6&gt;=$C44),IF(AND($D44&gt;=Q$3,$D44&lt;=Q$3+6),2,1),""))</f>
        <v/>
      </c>
      <c r="R44" s="29" t="str">
        <f aca="false">IF(OR($C44="",$D44=""),"",IF(AND(R$3&lt;=$D44,R$3+6&gt;=$C44),IF(AND($D44&gt;=R$3,$D44&lt;=R$3+6),2,1),""))</f>
        <v/>
      </c>
      <c r="S44" s="29" t="str">
        <f aca="false">IF(OR($C44="",$D44=""),"",IF(AND(S$3&lt;=$D44,S$3+6&gt;=$C44),IF(AND($D44&gt;=S$3,$D44&lt;=S$3+6),2,1),""))</f>
        <v/>
      </c>
      <c r="T44" s="29" t="str">
        <f aca="false">IF(OR($C44="",$D44=""),"",IF(AND(T$3&lt;=$D44,T$3+6&gt;=$C44),IF(AND($D44&gt;=T$3,$D44&lt;=T$3+6),2,1),""))</f>
        <v/>
      </c>
      <c r="U44" s="29" t="str">
        <f aca="false">IF(OR($C44="",$D44=""),"",IF(AND(U$3&lt;=$D44,U$3+6&gt;=$C44),IF(AND($D44&gt;=U$3,$D44&lt;=U$3+6),2,1),""))</f>
        <v/>
      </c>
      <c r="V44" s="29" t="str">
        <f aca="false">IF(OR($C44="",$D44=""),"",IF(AND(V$3&lt;=$D44,V$3+6&gt;=$C44),IF(AND($D44&gt;=V$3,$D44&lt;=V$3+6),2,1),""))</f>
        <v/>
      </c>
      <c r="W44" s="29" t="str">
        <f aca="false">IF(OR($C44="",$D44=""),"",IF(AND(W$3&lt;=$D44,W$3+6&gt;=$C44),IF(AND($D44&gt;=W$3,$D44&lt;=W$3+6),2,1),""))</f>
        <v/>
      </c>
      <c r="X44" s="29" t="str">
        <f aca="false">IF(OR($C44="",$D44=""),"",IF(AND(X$3&lt;=$D44,X$3+6&gt;=$C44),IF(AND($D44&gt;=X$3,$D44&lt;=X$3+6),2,1),""))</f>
        <v/>
      </c>
      <c r="Y44" s="29" t="str">
        <f aca="false">IF(OR($C44="",$D44=""),"",IF(AND(Y$3&lt;=$D44,Y$3+6&gt;=$C44),IF(AND($D44&gt;=Y$3,$D44&lt;=Y$3+6),2,1),""))</f>
        <v/>
      </c>
      <c r="Z44" s="29" t="str">
        <f aca="false">IF(OR($C44="",$D44=""),"",IF(AND(Z$3&lt;=$D44,Z$3+6&gt;=$C44),IF(AND($D44&gt;=Z$3,$D44&lt;=Z$3+6),2,1),""))</f>
        <v/>
      </c>
      <c r="AA44" s="29" t="n">
        <f aca="false">IF(OR($C44="",$D44=""),"",IF(AND(AA$3&lt;=$D44,AA$3+6&gt;=$C44),IF(AND($D44&gt;=AA$3,$D44&lt;=AA$3+6),2,1),""))</f>
        <v>1</v>
      </c>
      <c r="AB44" s="29" t="n">
        <f aca="false">IF(OR($C44="",$D44=""),"",IF(AND(AB$3&lt;=$D44,AB$3+6&gt;=$C44),IF(AND($D44&gt;=AB$3,$D44&lt;=AB$3+6),2,1),""))</f>
        <v>1</v>
      </c>
      <c r="AC44" s="29" t="n">
        <f aca="false">IF(OR($C44="",$D44=""),"",IF(AND(AC$3&lt;=$D44,AC$3+6&gt;=$C44),IF(AND($D44&gt;=AC$3,$D44&lt;=AC$3+6),2,1),""))</f>
        <v>1</v>
      </c>
      <c r="AD44" s="29" t="n">
        <f aca="false">IF(OR($C44="",$D44=""),"",IF(AND(AD$3&lt;=$D44,AD$3+6&gt;=$C44),IF(AND($D44&gt;=AD$3,$D44&lt;=AD$3+6),2,1),""))</f>
        <v>1</v>
      </c>
      <c r="AE44" s="29" t="n">
        <f aca="false">IF(OR($C44="",$D44=""),"",IF(AND(AE$3&lt;=$D44,AE$3+6&gt;=$C44),IF(AND($D44&gt;=AE$3,$D44&lt;=AE$3+6),2,1),""))</f>
        <v>2</v>
      </c>
      <c r="AF44" s="29" t="str">
        <f aca="false">IF(OR($C44="",$D44=""),"",IF(AND(AF$3&lt;=$D44,AF$3+6&gt;=$C44),IF(AND($D44&gt;=AF$3,$D44&lt;=AF$3+6),2,1),""))</f>
        <v/>
      </c>
      <c r="AG44" s="29" t="str">
        <f aca="false">IF(OR($C44="",$D44=""),"",IF(AND(AG$3&lt;=$D44,AG$3+6&gt;=$C44),IF(AND($D44&gt;=AG$3,$D44&lt;=AG$3+6),2,1),""))</f>
        <v/>
      </c>
      <c r="AH44" s="29" t="str">
        <f aca="false">IF(OR($C44="",$D44=""),"",IF(AND(AH$3&lt;=$D44,AH$3+6&gt;=$C44),IF(AND($D44&gt;=AH$3,$D44&lt;=AH$3+6),2,1),""))</f>
        <v/>
      </c>
      <c r="AI44" s="29" t="str">
        <f aca="false">IF(OR($C44="",$D44=""),"",IF(AND(AI$3&lt;=$D44,AI$3+6&gt;=$C44),IF(AND($D44&gt;=AI$3,$D44&lt;=AI$3+6),2,1),""))</f>
        <v/>
      </c>
      <c r="AJ44" s="29" t="str">
        <f aca="false">IF(OR($C44="",$D44=""),"",IF(AND(AJ$3&lt;=$D44,AJ$3+6&gt;=$C44),IF(AND($D44&gt;=AJ$3,$D44&lt;=AJ$3+6),2,1),""))</f>
        <v/>
      </c>
      <c r="AK44" s="29" t="str">
        <f aca="false">IF(OR($C44="",$D44=""),"",IF(AND(AK$3&lt;=$D44,AK$3+6&gt;=$C44),IF(AND($D44&gt;=AK$3,$D44&lt;=AK$3+6),2,1),""))</f>
        <v/>
      </c>
      <c r="AL44" s="29" t="str">
        <f aca="false">IF(OR($C44="",$D44=""),"",IF(AND(AL$3&lt;=$D44,AL$3+6&gt;=$C44),IF(AND($D44&gt;=AL$3,$D44&lt;=AL$3+6),2,1),""))</f>
        <v/>
      </c>
      <c r="AM44" s="29" t="str">
        <f aca="false">IF(OR($C44="",$D44=""),"",IF(AND(AM$3&lt;=$D44,AM$3+6&gt;=$C44),IF(AND($D44&gt;=AM$3,$D44&lt;=AM$3+6),2,1),""))</f>
        <v/>
      </c>
      <c r="AN44" s="29" t="str">
        <f aca="false">IF(OR($C44="",$D44=""),"",IF(AND(AN$3&lt;=$D44,AN$3+6&gt;=$C44),IF(AND($D44&gt;=AN$3,$D44&lt;=AN$3+6),2,1),""))</f>
        <v/>
      </c>
      <c r="AO44" s="29" t="str">
        <f aca="false">IF(OR($C44="",$D44=""),"",IF(AND(AO$3&lt;=$D44,AO$3+6&gt;=$C44),IF(AND($D44&gt;=AO$3,$D44&lt;=AO$3+6),2,1),""))</f>
        <v/>
      </c>
      <c r="AP44" s="29" t="str">
        <f aca="false">IF(OR($C44="",$D44=""),"",IF(AND(AP$3&lt;=$D44,AP$3+6&gt;=$C44),IF(AND($D44&gt;=AP$3,$D44&lt;=AP$3+6),2,1),""))</f>
        <v/>
      </c>
      <c r="AQ44" s="29" t="str">
        <f aca="false">IF(OR($C44="",$D44=""),"",IF(AND(AQ$3&lt;=$D44,AQ$3+6&gt;=$C44),IF(AND($D44&gt;=AQ$3,$D44&lt;=AQ$3+6),2,1),""))</f>
        <v/>
      </c>
      <c r="AR44" s="29" t="str">
        <f aca="false">IF(OR($C44="",$D44=""),"",IF(AND(AR$3&lt;=$D44,AR$3+6&gt;=$C44),IF(AND($D44&gt;=AR$3,$D44&lt;=AR$3+6),2,1),""))</f>
        <v/>
      </c>
      <c r="AS44" s="29" t="str">
        <f aca="false">IF(OR($C44="",$D44=""),"",IF(AND(AS$3&lt;=$D44,AS$3+6&gt;=$C44),IF(AND($D44&gt;=AS$3,$D44&lt;=AS$3+6),2,1),""))</f>
        <v/>
      </c>
      <c r="AT44" s="29" t="str">
        <f aca="false">IF(OR($C44="",$D44=""),"",IF(AND(AT$3&lt;=$D44,AT$3+6&gt;=$C44),IF(AND($D44&gt;=AT$3,$D44&lt;=AT$3+6),2,1),""))</f>
        <v/>
      </c>
      <c r="AU44" s="29" t="str">
        <f aca="false">IF(OR($C44="",$D44=""),"",IF(AND(AU$3&lt;=$D44,AU$3+6&gt;=$C44),IF(AND($D44&gt;=AU$3,$D44&lt;=AU$3+6),2,1),""))</f>
        <v/>
      </c>
      <c r="AV44" s="29" t="str">
        <f aca="false">IF(OR($C44="",$D44=""),"",IF(AND(AV$3&lt;=$D44,AV$3+6&gt;=$C44),IF(AND($D44&gt;=AV$3,$D44&lt;=AV$3+6),2,1),""))</f>
        <v/>
      </c>
      <c r="AW44" s="29" t="str">
        <f aca="false">IF(OR($C44="",$D44=""),"",IF(AND(AW$3&lt;=$D44,AW$3+6&gt;=$C44),IF(AND($D44&gt;=AW$3,$D44&lt;=AW$3+6),2,1),""))</f>
        <v/>
      </c>
      <c r="AX44" s="29" t="str">
        <f aca="false">IF(OR($C44="",$D44=""),"",IF(AND(AX$3&lt;=$D44,AX$3+6&gt;=$C44),IF(AND($D44&gt;=AX$3,$D44&lt;=AX$3+6),2,1),""))</f>
        <v/>
      </c>
      <c r="AY44" s="29" t="str">
        <f aca="false">IF(OR($C44="",$D44=""),"",IF(AND(AY$3&lt;=$D44,AY$3+6&gt;=$C44),IF(AND($D44&gt;=AY$3,$D44&lt;=AY$3+6),2,1),""))</f>
        <v/>
      </c>
      <c r="AZ44" s="29" t="str">
        <f aca="false">IF(OR($C44="",$D44=""),"",IF(AND(AZ$3&lt;=$D44,AZ$3+6&gt;=$C44),IF(AND($D44&gt;=AZ$3,$D44&lt;=AZ$3+6),2,1),""))</f>
        <v/>
      </c>
      <c r="BA44" s="29" t="str">
        <f aca="false">IF(OR($C44="",$D44=""),"",IF(AND(BA$3&lt;=$D44,BA$3+6&gt;=$C44),IF(AND($D44&gt;=BA$3,$D44&lt;=BA$3+6),2,1),""))</f>
        <v/>
      </c>
      <c r="BB44" s="29" t="str">
        <f aca="false">IF(OR($C44="",$D44=""),"",IF(AND(BB$3&lt;=$D44,BB$3+6&gt;=$C44),IF(AND($D44&gt;=BB$3,$D44&lt;=BB$3+6),2,1),""))</f>
        <v/>
      </c>
      <c r="BC44" s="29" t="str">
        <f aca="false">IF(OR($C44="",$D44=""),"",IF(AND(BC$3&lt;=$D44,BC$3+6&gt;=$C44),IF(AND($D44&gt;=BC$3,$D44&lt;=BC$3+6),2,1),""))</f>
        <v/>
      </c>
      <c r="BD44" s="29" t="str">
        <f aca="false">IF(OR($C44="",$D44=""),"",IF(AND(BD$3&lt;=$D44,BD$3+6&gt;=$C44),IF(AND($D44&gt;=BD$3,$D44&lt;=BD$3+6),2,1),""))</f>
        <v/>
      </c>
      <c r="BE44" s="29" t="str">
        <f aca="false">IF(OR($C44="",$D44=""),"",IF(AND(BE$3&lt;=$D44,BE$3+6&gt;=$C44),IF(AND($D44&gt;=BE$3,$D44&lt;=BE$3+6),2,1),""))</f>
        <v/>
      </c>
      <c r="BF44" s="29" t="str">
        <f aca="false">IF(OR($C44="",$D44=""),"",IF(AND(BF$3&lt;=$D44,BF$3+6&gt;=$C44),IF(AND($D44&gt;=BF$3,$D44&lt;=BF$3+6),2,1),""))</f>
        <v/>
      </c>
    </row>
    <row r="45" customFormat="false" ht="15" hidden="false" customHeight="true" outlineLevel="0" collapsed="false">
      <c r="A45" s="16" t="s">
        <v>317</v>
      </c>
      <c r="B45" s="27" t="str">
        <f aca="false">IFERROR(INDEX(Plan!$C$2:$C$400,MATCH($A45,Plan!$A$2:$A$400,0)),"")</f>
        <v>Product-builder role draft</v>
      </c>
      <c r="C45" s="28" t="n">
        <f aca="false">IFERROR(INDEX(Plan!$I$2:$I$400,MATCH($A45,Plan!$A$2:$A$400,0)),"")</f>
        <v>46391</v>
      </c>
      <c r="D45" s="28" t="n">
        <f aca="false">IFERROR(INDEX(Plan!$J$2:$J$400,MATCH($A45,Plan!$A$2:$A$400,0)),"")</f>
        <v>46416</v>
      </c>
      <c r="E45" s="29" t="str">
        <f aca="false">IF(OR($C45="",$D45=""),"",IF(AND(E$3&lt;=$D45,E$3+6&gt;=$C45),IF(AND($D45&gt;=E$3,$D45&lt;=E$3+6),2,1),""))</f>
        <v/>
      </c>
      <c r="F45" s="29" t="str">
        <f aca="false">IF(OR($C45="",$D45=""),"",IF(AND(F$3&lt;=$D45,F$3+6&gt;=$C45),IF(AND($D45&gt;=F$3,$D45&lt;=F$3+6),2,1),""))</f>
        <v/>
      </c>
      <c r="G45" s="29" t="str">
        <f aca="false">IF(OR($C45="",$D45=""),"",IF(AND(G$3&lt;=$D45,G$3+6&gt;=$C45),IF(AND($D45&gt;=G$3,$D45&lt;=G$3+6),2,1),""))</f>
        <v/>
      </c>
      <c r="H45" s="29" t="str">
        <f aca="false">IF(OR($C45="",$D45=""),"",IF(AND(H$3&lt;=$D45,H$3+6&gt;=$C45),IF(AND($D45&gt;=H$3,$D45&lt;=H$3+6),2,1),""))</f>
        <v/>
      </c>
      <c r="I45" s="29" t="str">
        <f aca="false">IF(OR($C45="",$D45=""),"",IF(AND(I$3&lt;=$D45,I$3+6&gt;=$C45),IF(AND($D45&gt;=I$3,$D45&lt;=I$3+6),2,1),""))</f>
        <v/>
      </c>
      <c r="J45" s="29" t="str">
        <f aca="false">IF(OR($C45="",$D45=""),"",IF(AND(J$3&lt;=$D45,J$3+6&gt;=$C45),IF(AND($D45&gt;=J$3,$D45&lt;=J$3+6),2,1),""))</f>
        <v/>
      </c>
      <c r="K45" s="29" t="str">
        <f aca="false">IF(OR($C45="",$D45=""),"",IF(AND(K$3&lt;=$D45,K$3+6&gt;=$C45),IF(AND($D45&gt;=K$3,$D45&lt;=K$3+6),2,1),""))</f>
        <v/>
      </c>
      <c r="L45" s="29" t="str">
        <f aca="false">IF(OR($C45="",$D45=""),"",IF(AND(L$3&lt;=$D45,L$3+6&gt;=$C45),IF(AND($D45&gt;=L$3,$D45&lt;=L$3+6),2,1),""))</f>
        <v/>
      </c>
      <c r="M45" s="29" t="str">
        <f aca="false">IF(OR($C45="",$D45=""),"",IF(AND(M$3&lt;=$D45,M$3+6&gt;=$C45),IF(AND($D45&gt;=M$3,$D45&lt;=M$3+6),2,1),""))</f>
        <v/>
      </c>
      <c r="N45" s="29" t="str">
        <f aca="false">IF(OR($C45="",$D45=""),"",IF(AND(N$3&lt;=$D45,N$3+6&gt;=$C45),IF(AND($D45&gt;=N$3,$D45&lt;=N$3+6),2,1),""))</f>
        <v/>
      </c>
      <c r="O45" s="29" t="n">
        <f aca="false">IF(OR($C45="",$D45=""),"",IF(AND(O$3&lt;=$D45,O$3+6&gt;=$C45),IF(AND($D45&gt;=O$3,$D45&lt;=O$3+6),2,1),""))</f>
        <v>1</v>
      </c>
      <c r="P45" s="29" t="n">
        <f aca="false">IF(OR($C45="",$D45=""),"",IF(AND(P$3&lt;=$D45,P$3+6&gt;=$C45),IF(AND($D45&gt;=P$3,$D45&lt;=P$3+6),2,1),""))</f>
        <v>1</v>
      </c>
      <c r="Q45" s="29" t="n">
        <f aca="false">IF(OR($C45="",$D45=""),"",IF(AND(Q$3&lt;=$D45,Q$3+6&gt;=$C45),IF(AND($D45&gt;=Q$3,$D45&lt;=Q$3+6),2,1),""))</f>
        <v>1</v>
      </c>
      <c r="R45" s="29" t="n">
        <f aca="false">IF(OR($C45="",$D45=""),"",IF(AND(R$3&lt;=$D45,R$3+6&gt;=$C45),IF(AND($D45&gt;=R$3,$D45&lt;=R$3+6),2,1),""))</f>
        <v>2</v>
      </c>
      <c r="S45" s="29" t="str">
        <f aca="false">IF(OR($C45="",$D45=""),"",IF(AND(S$3&lt;=$D45,S$3+6&gt;=$C45),IF(AND($D45&gt;=S$3,$D45&lt;=S$3+6),2,1),""))</f>
        <v/>
      </c>
      <c r="T45" s="29" t="str">
        <f aca="false">IF(OR($C45="",$D45=""),"",IF(AND(T$3&lt;=$D45,T$3+6&gt;=$C45),IF(AND($D45&gt;=T$3,$D45&lt;=T$3+6),2,1),""))</f>
        <v/>
      </c>
      <c r="U45" s="29" t="str">
        <f aca="false">IF(OR($C45="",$D45=""),"",IF(AND(U$3&lt;=$D45,U$3+6&gt;=$C45),IF(AND($D45&gt;=U$3,$D45&lt;=U$3+6),2,1),""))</f>
        <v/>
      </c>
      <c r="V45" s="29" t="str">
        <f aca="false">IF(OR($C45="",$D45=""),"",IF(AND(V$3&lt;=$D45,V$3+6&gt;=$C45),IF(AND($D45&gt;=V$3,$D45&lt;=V$3+6),2,1),""))</f>
        <v/>
      </c>
      <c r="W45" s="29" t="str">
        <f aca="false">IF(OR($C45="",$D45=""),"",IF(AND(W$3&lt;=$D45,W$3+6&gt;=$C45),IF(AND($D45&gt;=W$3,$D45&lt;=W$3+6),2,1),""))</f>
        <v/>
      </c>
      <c r="X45" s="29" t="str">
        <f aca="false">IF(OR($C45="",$D45=""),"",IF(AND(X$3&lt;=$D45,X$3+6&gt;=$C45),IF(AND($D45&gt;=X$3,$D45&lt;=X$3+6),2,1),""))</f>
        <v/>
      </c>
      <c r="Y45" s="29" t="str">
        <f aca="false">IF(OR($C45="",$D45=""),"",IF(AND(Y$3&lt;=$D45,Y$3+6&gt;=$C45),IF(AND($D45&gt;=Y$3,$D45&lt;=Y$3+6),2,1),""))</f>
        <v/>
      </c>
      <c r="Z45" s="29" t="str">
        <f aca="false">IF(OR($C45="",$D45=""),"",IF(AND(Z$3&lt;=$D45,Z$3+6&gt;=$C45),IF(AND($D45&gt;=Z$3,$D45&lt;=Z$3+6),2,1),""))</f>
        <v/>
      </c>
      <c r="AA45" s="29" t="str">
        <f aca="false">IF(OR($C45="",$D45=""),"",IF(AND(AA$3&lt;=$D45,AA$3+6&gt;=$C45),IF(AND($D45&gt;=AA$3,$D45&lt;=AA$3+6),2,1),""))</f>
        <v/>
      </c>
      <c r="AB45" s="29" t="str">
        <f aca="false">IF(OR($C45="",$D45=""),"",IF(AND(AB$3&lt;=$D45,AB$3+6&gt;=$C45),IF(AND($D45&gt;=AB$3,$D45&lt;=AB$3+6),2,1),""))</f>
        <v/>
      </c>
      <c r="AC45" s="29" t="str">
        <f aca="false">IF(OR($C45="",$D45=""),"",IF(AND(AC$3&lt;=$D45,AC$3+6&gt;=$C45),IF(AND($D45&gt;=AC$3,$D45&lt;=AC$3+6),2,1),""))</f>
        <v/>
      </c>
      <c r="AD45" s="29" t="str">
        <f aca="false">IF(OR($C45="",$D45=""),"",IF(AND(AD$3&lt;=$D45,AD$3+6&gt;=$C45),IF(AND($D45&gt;=AD$3,$D45&lt;=AD$3+6),2,1),""))</f>
        <v/>
      </c>
      <c r="AE45" s="29" t="str">
        <f aca="false">IF(OR($C45="",$D45=""),"",IF(AND(AE$3&lt;=$D45,AE$3+6&gt;=$C45),IF(AND($D45&gt;=AE$3,$D45&lt;=AE$3+6),2,1),""))</f>
        <v/>
      </c>
      <c r="AF45" s="29" t="str">
        <f aca="false">IF(OR($C45="",$D45=""),"",IF(AND(AF$3&lt;=$D45,AF$3+6&gt;=$C45),IF(AND($D45&gt;=AF$3,$D45&lt;=AF$3+6),2,1),""))</f>
        <v/>
      </c>
      <c r="AG45" s="29" t="str">
        <f aca="false">IF(OR($C45="",$D45=""),"",IF(AND(AG$3&lt;=$D45,AG$3+6&gt;=$C45),IF(AND($D45&gt;=AG$3,$D45&lt;=AG$3+6),2,1),""))</f>
        <v/>
      </c>
      <c r="AH45" s="29" t="str">
        <f aca="false">IF(OR($C45="",$D45=""),"",IF(AND(AH$3&lt;=$D45,AH$3+6&gt;=$C45),IF(AND($D45&gt;=AH$3,$D45&lt;=AH$3+6),2,1),""))</f>
        <v/>
      </c>
      <c r="AI45" s="29" t="str">
        <f aca="false">IF(OR($C45="",$D45=""),"",IF(AND(AI$3&lt;=$D45,AI$3+6&gt;=$C45),IF(AND($D45&gt;=AI$3,$D45&lt;=AI$3+6),2,1),""))</f>
        <v/>
      </c>
      <c r="AJ45" s="29" t="str">
        <f aca="false">IF(OR($C45="",$D45=""),"",IF(AND(AJ$3&lt;=$D45,AJ$3+6&gt;=$C45),IF(AND($D45&gt;=AJ$3,$D45&lt;=AJ$3+6),2,1),""))</f>
        <v/>
      </c>
      <c r="AK45" s="29" t="str">
        <f aca="false">IF(OR($C45="",$D45=""),"",IF(AND(AK$3&lt;=$D45,AK$3+6&gt;=$C45),IF(AND($D45&gt;=AK$3,$D45&lt;=AK$3+6),2,1),""))</f>
        <v/>
      </c>
      <c r="AL45" s="29" t="str">
        <f aca="false">IF(OR($C45="",$D45=""),"",IF(AND(AL$3&lt;=$D45,AL$3+6&gt;=$C45),IF(AND($D45&gt;=AL$3,$D45&lt;=AL$3+6),2,1),""))</f>
        <v/>
      </c>
      <c r="AM45" s="29" t="str">
        <f aca="false">IF(OR($C45="",$D45=""),"",IF(AND(AM$3&lt;=$D45,AM$3+6&gt;=$C45),IF(AND($D45&gt;=AM$3,$D45&lt;=AM$3+6),2,1),""))</f>
        <v/>
      </c>
      <c r="AN45" s="29" t="str">
        <f aca="false">IF(OR($C45="",$D45=""),"",IF(AND(AN$3&lt;=$D45,AN$3+6&gt;=$C45),IF(AND($D45&gt;=AN$3,$D45&lt;=AN$3+6),2,1),""))</f>
        <v/>
      </c>
      <c r="AO45" s="29" t="str">
        <f aca="false">IF(OR($C45="",$D45=""),"",IF(AND(AO$3&lt;=$D45,AO$3+6&gt;=$C45),IF(AND($D45&gt;=AO$3,$D45&lt;=AO$3+6),2,1),""))</f>
        <v/>
      </c>
      <c r="AP45" s="29" t="str">
        <f aca="false">IF(OR($C45="",$D45=""),"",IF(AND(AP$3&lt;=$D45,AP$3+6&gt;=$C45),IF(AND($D45&gt;=AP$3,$D45&lt;=AP$3+6),2,1),""))</f>
        <v/>
      </c>
      <c r="AQ45" s="29" t="str">
        <f aca="false">IF(OR($C45="",$D45=""),"",IF(AND(AQ$3&lt;=$D45,AQ$3+6&gt;=$C45),IF(AND($D45&gt;=AQ$3,$D45&lt;=AQ$3+6),2,1),""))</f>
        <v/>
      </c>
      <c r="AR45" s="29" t="str">
        <f aca="false">IF(OR($C45="",$D45=""),"",IF(AND(AR$3&lt;=$D45,AR$3+6&gt;=$C45),IF(AND($D45&gt;=AR$3,$D45&lt;=AR$3+6),2,1),""))</f>
        <v/>
      </c>
      <c r="AS45" s="29" t="str">
        <f aca="false">IF(OR($C45="",$D45=""),"",IF(AND(AS$3&lt;=$D45,AS$3+6&gt;=$C45),IF(AND($D45&gt;=AS$3,$D45&lt;=AS$3+6),2,1),""))</f>
        <v/>
      </c>
      <c r="AT45" s="29" t="str">
        <f aca="false">IF(OR($C45="",$D45=""),"",IF(AND(AT$3&lt;=$D45,AT$3+6&gt;=$C45),IF(AND($D45&gt;=AT$3,$D45&lt;=AT$3+6),2,1),""))</f>
        <v/>
      </c>
      <c r="AU45" s="29" t="str">
        <f aca="false">IF(OR($C45="",$D45=""),"",IF(AND(AU$3&lt;=$D45,AU$3+6&gt;=$C45),IF(AND($D45&gt;=AU$3,$D45&lt;=AU$3+6),2,1),""))</f>
        <v/>
      </c>
      <c r="AV45" s="29" t="str">
        <f aca="false">IF(OR($C45="",$D45=""),"",IF(AND(AV$3&lt;=$D45,AV$3+6&gt;=$C45),IF(AND($D45&gt;=AV$3,$D45&lt;=AV$3+6),2,1),""))</f>
        <v/>
      </c>
      <c r="AW45" s="29" t="str">
        <f aca="false">IF(OR($C45="",$D45=""),"",IF(AND(AW$3&lt;=$D45,AW$3+6&gt;=$C45),IF(AND($D45&gt;=AW$3,$D45&lt;=AW$3+6),2,1),""))</f>
        <v/>
      </c>
      <c r="AX45" s="29" t="str">
        <f aca="false">IF(OR($C45="",$D45=""),"",IF(AND(AX$3&lt;=$D45,AX$3+6&gt;=$C45),IF(AND($D45&gt;=AX$3,$D45&lt;=AX$3+6),2,1),""))</f>
        <v/>
      </c>
      <c r="AY45" s="29" t="str">
        <f aca="false">IF(OR($C45="",$D45=""),"",IF(AND(AY$3&lt;=$D45,AY$3+6&gt;=$C45),IF(AND($D45&gt;=AY$3,$D45&lt;=AY$3+6),2,1),""))</f>
        <v/>
      </c>
      <c r="AZ45" s="29" t="str">
        <f aca="false">IF(OR($C45="",$D45=""),"",IF(AND(AZ$3&lt;=$D45,AZ$3+6&gt;=$C45),IF(AND($D45&gt;=AZ$3,$D45&lt;=AZ$3+6),2,1),""))</f>
        <v/>
      </c>
      <c r="BA45" s="29" t="str">
        <f aca="false">IF(OR($C45="",$D45=""),"",IF(AND(BA$3&lt;=$D45,BA$3+6&gt;=$C45),IF(AND($D45&gt;=BA$3,$D45&lt;=BA$3+6),2,1),""))</f>
        <v/>
      </c>
      <c r="BB45" s="29" t="str">
        <f aca="false">IF(OR($C45="",$D45=""),"",IF(AND(BB$3&lt;=$D45,BB$3+6&gt;=$C45),IF(AND($D45&gt;=BB$3,$D45&lt;=BB$3+6),2,1),""))</f>
        <v/>
      </c>
      <c r="BC45" s="29" t="str">
        <f aca="false">IF(OR($C45="",$D45=""),"",IF(AND(BC$3&lt;=$D45,BC$3+6&gt;=$C45),IF(AND($D45&gt;=BC$3,$D45&lt;=BC$3+6),2,1),""))</f>
        <v/>
      </c>
      <c r="BD45" s="29" t="str">
        <f aca="false">IF(OR($C45="",$D45=""),"",IF(AND(BD$3&lt;=$D45,BD$3+6&gt;=$C45),IF(AND($D45&gt;=BD$3,$D45&lt;=BD$3+6),2,1),""))</f>
        <v/>
      </c>
      <c r="BE45" s="29" t="str">
        <f aca="false">IF(OR($C45="",$D45=""),"",IF(AND(BE$3&lt;=$D45,BE$3+6&gt;=$C45),IF(AND($D45&gt;=BE$3,$D45&lt;=BE$3+6),2,1),""))</f>
        <v/>
      </c>
      <c r="BF45" s="29" t="str">
        <f aca="false">IF(OR($C45="",$D45=""),"",IF(AND(BF$3&lt;=$D45,BF$3+6&gt;=$C45),IF(AND($D45&gt;=BF$3,$D45&lt;=BF$3+6),2,1),""))</f>
        <v/>
      </c>
    </row>
    <row r="46" customFormat="false" ht="15" hidden="false" customHeight="true" outlineLevel="0" collapsed="false">
      <c r="A46" s="16" t="s">
        <v>324</v>
      </c>
      <c r="B46" s="27" t="str">
        <f aca="false">IFERROR(INDEX(Plan!$C$2:$C$400,MATCH($A46,Plan!$A$2:$A$400,0)),"")</f>
        <v>One accountable builder per feature</v>
      </c>
      <c r="C46" s="28" t="n">
        <f aca="false">IFERROR(INDEX(Plan!$I$2:$I$400,MATCH($A46,Plan!$A$2:$A$400,0)),"")</f>
        <v>46419</v>
      </c>
      <c r="D46" s="28" t="n">
        <f aca="false">IFERROR(INDEX(Plan!$J$2:$J$400,MATCH($A46,Plan!$A$2:$A$400,0)),"")</f>
        <v>46507</v>
      </c>
      <c r="E46" s="29" t="str">
        <f aca="false">IF(OR($C46="",$D46=""),"",IF(AND(E$3&lt;=$D46,E$3+6&gt;=$C46),IF(AND($D46&gt;=E$3,$D46&lt;=E$3+6),2,1),""))</f>
        <v/>
      </c>
      <c r="F46" s="29" t="str">
        <f aca="false">IF(OR($C46="",$D46=""),"",IF(AND(F$3&lt;=$D46,F$3+6&gt;=$C46),IF(AND($D46&gt;=F$3,$D46&lt;=F$3+6),2,1),""))</f>
        <v/>
      </c>
      <c r="G46" s="29" t="str">
        <f aca="false">IF(OR($C46="",$D46=""),"",IF(AND(G$3&lt;=$D46,G$3+6&gt;=$C46),IF(AND($D46&gt;=G$3,$D46&lt;=G$3+6),2,1),""))</f>
        <v/>
      </c>
      <c r="H46" s="29" t="str">
        <f aca="false">IF(OR($C46="",$D46=""),"",IF(AND(H$3&lt;=$D46,H$3+6&gt;=$C46),IF(AND($D46&gt;=H$3,$D46&lt;=H$3+6),2,1),""))</f>
        <v/>
      </c>
      <c r="I46" s="29" t="str">
        <f aca="false">IF(OR($C46="",$D46=""),"",IF(AND(I$3&lt;=$D46,I$3+6&gt;=$C46),IF(AND($D46&gt;=I$3,$D46&lt;=I$3+6),2,1),""))</f>
        <v/>
      </c>
      <c r="J46" s="29" t="str">
        <f aca="false">IF(OR($C46="",$D46=""),"",IF(AND(J$3&lt;=$D46,J$3+6&gt;=$C46),IF(AND($D46&gt;=J$3,$D46&lt;=J$3+6),2,1),""))</f>
        <v/>
      </c>
      <c r="K46" s="29" t="str">
        <f aca="false">IF(OR($C46="",$D46=""),"",IF(AND(K$3&lt;=$D46,K$3+6&gt;=$C46),IF(AND($D46&gt;=K$3,$D46&lt;=K$3+6),2,1),""))</f>
        <v/>
      </c>
      <c r="L46" s="29" t="str">
        <f aca="false">IF(OR($C46="",$D46=""),"",IF(AND(L$3&lt;=$D46,L$3+6&gt;=$C46),IF(AND($D46&gt;=L$3,$D46&lt;=L$3+6),2,1),""))</f>
        <v/>
      </c>
      <c r="M46" s="29" t="str">
        <f aca="false">IF(OR($C46="",$D46=""),"",IF(AND(M$3&lt;=$D46,M$3+6&gt;=$C46),IF(AND($D46&gt;=M$3,$D46&lt;=M$3+6),2,1),""))</f>
        <v/>
      </c>
      <c r="N46" s="29" t="str">
        <f aca="false">IF(OR($C46="",$D46=""),"",IF(AND(N$3&lt;=$D46,N$3+6&gt;=$C46),IF(AND($D46&gt;=N$3,$D46&lt;=N$3+6),2,1),""))</f>
        <v/>
      </c>
      <c r="O46" s="29" t="str">
        <f aca="false">IF(OR($C46="",$D46=""),"",IF(AND(O$3&lt;=$D46,O$3+6&gt;=$C46),IF(AND($D46&gt;=O$3,$D46&lt;=O$3+6),2,1),""))</f>
        <v/>
      </c>
      <c r="P46" s="29" t="str">
        <f aca="false">IF(OR($C46="",$D46=""),"",IF(AND(P$3&lt;=$D46,P$3+6&gt;=$C46),IF(AND($D46&gt;=P$3,$D46&lt;=P$3+6),2,1),""))</f>
        <v/>
      </c>
      <c r="Q46" s="29" t="str">
        <f aca="false">IF(OR($C46="",$D46=""),"",IF(AND(Q$3&lt;=$D46,Q$3+6&gt;=$C46),IF(AND($D46&gt;=Q$3,$D46&lt;=Q$3+6),2,1),""))</f>
        <v/>
      </c>
      <c r="R46" s="29" t="str">
        <f aca="false">IF(OR($C46="",$D46=""),"",IF(AND(R$3&lt;=$D46,R$3+6&gt;=$C46),IF(AND($D46&gt;=R$3,$D46&lt;=R$3+6),2,1),""))</f>
        <v/>
      </c>
      <c r="S46" s="29" t="n">
        <f aca="false">IF(OR($C46="",$D46=""),"",IF(AND(S$3&lt;=$D46,S$3+6&gt;=$C46),IF(AND($D46&gt;=S$3,$D46&lt;=S$3+6),2,1),""))</f>
        <v>1</v>
      </c>
      <c r="T46" s="29" t="n">
        <f aca="false">IF(OR($C46="",$D46=""),"",IF(AND(T$3&lt;=$D46,T$3+6&gt;=$C46),IF(AND($D46&gt;=T$3,$D46&lt;=T$3+6),2,1),""))</f>
        <v>1</v>
      </c>
      <c r="U46" s="29" t="n">
        <f aca="false">IF(OR($C46="",$D46=""),"",IF(AND(U$3&lt;=$D46,U$3+6&gt;=$C46),IF(AND($D46&gt;=U$3,$D46&lt;=U$3+6),2,1),""))</f>
        <v>1</v>
      </c>
      <c r="V46" s="29" t="n">
        <f aca="false">IF(OR($C46="",$D46=""),"",IF(AND(V$3&lt;=$D46,V$3+6&gt;=$C46),IF(AND($D46&gt;=V$3,$D46&lt;=V$3+6),2,1),""))</f>
        <v>1</v>
      </c>
      <c r="W46" s="29" t="n">
        <f aca="false">IF(OR($C46="",$D46=""),"",IF(AND(W$3&lt;=$D46,W$3+6&gt;=$C46),IF(AND($D46&gt;=W$3,$D46&lt;=W$3+6),2,1),""))</f>
        <v>1</v>
      </c>
      <c r="X46" s="29" t="n">
        <f aca="false">IF(OR($C46="",$D46=""),"",IF(AND(X$3&lt;=$D46,X$3+6&gt;=$C46),IF(AND($D46&gt;=X$3,$D46&lt;=X$3+6),2,1),""))</f>
        <v>1</v>
      </c>
      <c r="Y46" s="29" t="n">
        <f aca="false">IF(OR($C46="",$D46=""),"",IF(AND(Y$3&lt;=$D46,Y$3+6&gt;=$C46),IF(AND($D46&gt;=Y$3,$D46&lt;=Y$3+6),2,1),""))</f>
        <v>1</v>
      </c>
      <c r="Z46" s="29" t="n">
        <f aca="false">IF(OR($C46="",$D46=""),"",IF(AND(Z$3&lt;=$D46,Z$3+6&gt;=$C46),IF(AND($D46&gt;=Z$3,$D46&lt;=Z$3+6),2,1),""))</f>
        <v>1</v>
      </c>
      <c r="AA46" s="29" t="n">
        <f aca="false">IF(OR($C46="",$D46=""),"",IF(AND(AA$3&lt;=$D46,AA$3+6&gt;=$C46),IF(AND($D46&gt;=AA$3,$D46&lt;=AA$3+6),2,1),""))</f>
        <v>1</v>
      </c>
      <c r="AB46" s="29" t="n">
        <f aca="false">IF(OR($C46="",$D46=""),"",IF(AND(AB$3&lt;=$D46,AB$3+6&gt;=$C46),IF(AND($D46&gt;=AB$3,$D46&lt;=AB$3+6),2,1),""))</f>
        <v>1</v>
      </c>
      <c r="AC46" s="29" t="n">
        <f aca="false">IF(OR($C46="",$D46=""),"",IF(AND(AC$3&lt;=$D46,AC$3+6&gt;=$C46),IF(AND($D46&gt;=AC$3,$D46&lt;=AC$3+6),2,1),""))</f>
        <v>1</v>
      </c>
      <c r="AD46" s="29" t="n">
        <f aca="false">IF(OR($C46="",$D46=""),"",IF(AND(AD$3&lt;=$D46,AD$3+6&gt;=$C46),IF(AND($D46&gt;=AD$3,$D46&lt;=AD$3+6),2,1),""))</f>
        <v>1</v>
      </c>
      <c r="AE46" s="29" t="n">
        <f aca="false">IF(OR($C46="",$D46=""),"",IF(AND(AE$3&lt;=$D46,AE$3+6&gt;=$C46),IF(AND($D46&gt;=AE$3,$D46&lt;=AE$3+6),2,1),""))</f>
        <v>2</v>
      </c>
      <c r="AF46" s="29" t="str">
        <f aca="false">IF(OR($C46="",$D46=""),"",IF(AND(AF$3&lt;=$D46,AF$3+6&gt;=$C46),IF(AND($D46&gt;=AF$3,$D46&lt;=AF$3+6),2,1),""))</f>
        <v/>
      </c>
      <c r="AG46" s="29" t="str">
        <f aca="false">IF(OR($C46="",$D46=""),"",IF(AND(AG$3&lt;=$D46,AG$3+6&gt;=$C46),IF(AND($D46&gt;=AG$3,$D46&lt;=AG$3+6),2,1),""))</f>
        <v/>
      </c>
      <c r="AH46" s="29" t="str">
        <f aca="false">IF(OR($C46="",$D46=""),"",IF(AND(AH$3&lt;=$D46,AH$3+6&gt;=$C46),IF(AND($D46&gt;=AH$3,$D46&lt;=AH$3+6),2,1),""))</f>
        <v/>
      </c>
      <c r="AI46" s="29" t="str">
        <f aca="false">IF(OR($C46="",$D46=""),"",IF(AND(AI$3&lt;=$D46,AI$3+6&gt;=$C46),IF(AND($D46&gt;=AI$3,$D46&lt;=AI$3+6),2,1),""))</f>
        <v/>
      </c>
      <c r="AJ46" s="29" t="str">
        <f aca="false">IF(OR($C46="",$D46=""),"",IF(AND(AJ$3&lt;=$D46,AJ$3+6&gt;=$C46),IF(AND($D46&gt;=AJ$3,$D46&lt;=AJ$3+6),2,1),""))</f>
        <v/>
      </c>
      <c r="AK46" s="29" t="str">
        <f aca="false">IF(OR($C46="",$D46=""),"",IF(AND(AK$3&lt;=$D46,AK$3+6&gt;=$C46),IF(AND($D46&gt;=AK$3,$D46&lt;=AK$3+6),2,1),""))</f>
        <v/>
      </c>
      <c r="AL46" s="29" t="str">
        <f aca="false">IF(OR($C46="",$D46=""),"",IF(AND(AL$3&lt;=$D46,AL$3+6&gt;=$C46),IF(AND($D46&gt;=AL$3,$D46&lt;=AL$3+6),2,1),""))</f>
        <v/>
      </c>
      <c r="AM46" s="29" t="str">
        <f aca="false">IF(OR($C46="",$D46=""),"",IF(AND(AM$3&lt;=$D46,AM$3+6&gt;=$C46),IF(AND($D46&gt;=AM$3,$D46&lt;=AM$3+6),2,1),""))</f>
        <v/>
      </c>
      <c r="AN46" s="29" t="str">
        <f aca="false">IF(OR($C46="",$D46=""),"",IF(AND(AN$3&lt;=$D46,AN$3+6&gt;=$C46),IF(AND($D46&gt;=AN$3,$D46&lt;=AN$3+6),2,1),""))</f>
        <v/>
      </c>
      <c r="AO46" s="29" t="str">
        <f aca="false">IF(OR($C46="",$D46=""),"",IF(AND(AO$3&lt;=$D46,AO$3+6&gt;=$C46),IF(AND($D46&gt;=AO$3,$D46&lt;=AO$3+6),2,1),""))</f>
        <v/>
      </c>
      <c r="AP46" s="29" t="str">
        <f aca="false">IF(OR($C46="",$D46=""),"",IF(AND(AP$3&lt;=$D46,AP$3+6&gt;=$C46),IF(AND($D46&gt;=AP$3,$D46&lt;=AP$3+6),2,1),""))</f>
        <v/>
      </c>
      <c r="AQ46" s="29" t="str">
        <f aca="false">IF(OR($C46="",$D46=""),"",IF(AND(AQ$3&lt;=$D46,AQ$3+6&gt;=$C46),IF(AND($D46&gt;=AQ$3,$D46&lt;=AQ$3+6),2,1),""))</f>
        <v/>
      </c>
      <c r="AR46" s="29" t="str">
        <f aca="false">IF(OR($C46="",$D46=""),"",IF(AND(AR$3&lt;=$D46,AR$3+6&gt;=$C46),IF(AND($D46&gt;=AR$3,$D46&lt;=AR$3+6),2,1),""))</f>
        <v/>
      </c>
      <c r="AS46" s="29" t="str">
        <f aca="false">IF(OR($C46="",$D46=""),"",IF(AND(AS$3&lt;=$D46,AS$3+6&gt;=$C46),IF(AND($D46&gt;=AS$3,$D46&lt;=AS$3+6),2,1),""))</f>
        <v/>
      </c>
      <c r="AT46" s="29" t="str">
        <f aca="false">IF(OR($C46="",$D46=""),"",IF(AND(AT$3&lt;=$D46,AT$3+6&gt;=$C46),IF(AND($D46&gt;=AT$3,$D46&lt;=AT$3+6),2,1),""))</f>
        <v/>
      </c>
      <c r="AU46" s="29" t="str">
        <f aca="false">IF(OR($C46="",$D46=""),"",IF(AND(AU$3&lt;=$D46,AU$3+6&gt;=$C46),IF(AND($D46&gt;=AU$3,$D46&lt;=AU$3+6),2,1),""))</f>
        <v/>
      </c>
      <c r="AV46" s="29" t="str">
        <f aca="false">IF(OR($C46="",$D46=""),"",IF(AND(AV$3&lt;=$D46,AV$3+6&gt;=$C46),IF(AND($D46&gt;=AV$3,$D46&lt;=AV$3+6),2,1),""))</f>
        <v/>
      </c>
      <c r="AW46" s="29" t="str">
        <f aca="false">IF(OR($C46="",$D46=""),"",IF(AND(AW$3&lt;=$D46,AW$3+6&gt;=$C46),IF(AND($D46&gt;=AW$3,$D46&lt;=AW$3+6),2,1),""))</f>
        <v/>
      </c>
      <c r="AX46" s="29" t="str">
        <f aca="false">IF(OR($C46="",$D46=""),"",IF(AND(AX$3&lt;=$D46,AX$3+6&gt;=$C46),IF(AND($D46&gt;=AX$3,$D46&lt;=AX$3+6),2,1),""))</f>
        <v/>
      </c>
      <c r="AY46" s="29" t="str">
        <f aca="false">IF(OR($C46="",$D46=""),"",IF(AND(AY$3&lt;=$D46,AY$3+6&gt;=$C46),IF(AND($D46&gt;=AY$3,$D46&lt;=AY$3+6),2,1),""))</f>
        <v/>
      </c>
      <c r="AZ46" s="29" t="str">
        <f aca="false">IF(OR($C46="",$D46=""),"",IF(AND(AZ$3&lt;=$D46,AZ$3+6&gt;=$C46),IF(AND($D46&gt;=AZ$3,$D46&lt;=AZ$3+6),2,1),""))</f>
        <v/>
      </c>
      <c r="BA46" s="29" t="str">
        <f aca="false">IF(OR($C46="",$D46=""),"",IF(AND(BA$3&lt;=$D46,BA$3+6&gt;=$C46),IF(AND($D46&gt;=BA$3,$D46&lt;=BA$3+6),2,1),""))</f>
        <v/>
      </c>
      <c r="BB46" s="29" t="str">
        <f aca="false">IF(OR($C46="",$D46=""),"",IF(AND(BB$3&lt;=$D46,BB$3+6&gt;=$C46),IF(AND($D46&gt;=BB$3,$D46&lt;=BB$3+6),2,1),""))</f>
        <v/>
      </c>
      <c r="BC46" s="29" t="str">
        <f aca="false">IF(OR($C46="",$D46=""),"",IF(AND(BC$3&lt;=$D46,BC$3+6&gt;=$C46),IF(AND($D46&gt;=BC$3,$D46&lt;=BC$3+6),2,1),""))</f>
        <v/>
      </c>
      <c r="BD46" s="29" t="str">
        <f aca="false">IF(OR($C46="",$D46=""),"",IF(AND(BD$3&lt;=$D46,BD$3+6&gt;=$C46),IF(AND($D46&gt;=BD$3,$D46&lt;=BD$3+6),2,1),""))</f>
        <v/>
      </c>
      <c r="BE46" s="29" t="str">
        <f aca="false">IF(OR($C46="",$D46=""),"",IF(AND(BE$3&lt;=$D46,BE$3+6&gt;=$C46),IF(AND($D46&gt;=BE$3,$D46&lt;=BE$3+6),2,1),""))</f>
        <v/>
      </c>
      <c r="BF46" s="29" t="str">
        <f aca="false">IF(OR($C46="",$D46=""),"",IF(AND(BF$3&lt;=$D46,BF$3+6&gt;=$C46),IF(AND($D46&gt;=BF$3,$D46&lt;=BF$3+6),2,1),""))</f>
        <v/>
      </c>
    </row>
    <row r="47" customFormat="false" ht="15" hidden="false" customHeight="true" outlineLevel="0" collapsed="false">
      <c r="A47" s="16" t="s">
        <v>329</v>
      </c>
      <c r="B47" s="27" t="str">
        <f aca="false">IFERROR(INDEX(Plan!$C$2:$C$400,MATCH($A47,Plan!$A$2:$A$400,0)),"")</f>
        <v>Team-level scorecards</v>
      </c>
      <c r="C47" s="28" t="n">
        <f aca="false">IFERROR(INDEX(Plan!$I$2:$I$400,MATCH($A47,Plan!$A$2:$A$400,0)),"")</f>
        <v>46447</v>
      </c>
      <c r="D47" s="28" t="n">
        <f aca="false">IFERROR(INDEX(Plan!$J$2:$J$400,MATCH($A47,Plan!$A$2:$A$400,0)),"")</f>
        <v>46472</v>
      </c>
      <c r="E47" s="29" t="str">
        <f aca="false">IF(OR($C47="",$D47=""),"",IF(AND(E$3&lt;=$D47,E$3+6&gt;=$C47),IF(AND($D47&gt;=E$3,$D47&lt;=E$3+6),2,1),""))</f>
        <v/>
      </c>
      <c r="F47" s="29" t="str">
        <f aca="false">IF(OR($C47="",$D47=""),"",IF(AND(F$3&lt;=$D47,F$3+6&gt;=$C47),IF(AND($D47&gt;=F$3,$D47&lt;=F$3+6),2,1),""))</f>
        <v/>
      </c>
      <c r="G47" s="29" t="str">
        <f aca="false">IF(OR($C47="",$D47=""),"",IF(AND(G$3&lt;=$D47,G$3+6&gt;=$C47),IF(AND($D47&gt;=G$3,$D47&lt;=G$3+6),2,1),""))</f>
        <v/>
      </c>
      <c r="H47" s="29" t="str">
        <f aca="false">IF(OR($C47="",$D47=""),"",IF(AND(H$3&lt;=$D47,H$3+6&gt;=$C47),IF(AND($D47&gt;=H$3,$D47&lt;=H$3+6),2,1),""))</f>
        <v/>
      </c>
      <c r="I47" s="29" t="str">
        <f aca="false">IF(OR($C47="",$D47=""),"",IF(AND(I$3&lt;=$D47,I$3+6&gt;=$C47),IF(AND($D47&gt;=I$3,$D47&lt;=I$3+6),2,1),""))</f>
        <v/>
      </c>
      <c r="J47" s="29" t="str">
        <f aca="false">IF(OR($C47="",$D47=""),"",IF(AND(J$3&lt;=$D47,J$3+6&gt;=$C47),IF(AND($D47&gt;=J$3,$D47&lt;=J$3+6),2,1),""))</f>
        <v/>
      </c>
      <c r="K47" s="29" t="str">
        <f aca="false">IF(OR($C47="",$D47=""),"",IF(AND(K$3&lt;=$D47,K$3+6&gt;=$C47),IF(AND($D47&gt;=K$3,$D47&lt;=K$3+6),2,1),""))</f>
        <v/>
      </c>
      <c r="L47" s="29" t="str">
        <f aca="false">IF(OR($C47="",$D47=""),"",IF(AND(L$3&lt;=$D47,L$3+6&gt;=$C47),IF(AND($D47&gt;=L$3,$D47&lt;=L$3+6),2,1),""))</f>
        <v/>
      </c>
      <c r="M47" s="29" t="str">
        <f aca="false">IF(OR($C47="",$D47=""),"",IF(AND(M$3&lt;=$D47,M$3+6&gt;=$C47),IF(AND($D47&gt;=M$3,$D47&lt;=M$3+6),2,1),""))</f>
        <v/>
      </c>
      <c r="N47" s="29" t="str">
        <f aca="false">IF(OR($C47="",$D47=""),"",IF(AND(N$3&lt;=$D47,N$3+6&gt;=$C47),IF(AND($D47&gt;=N$3,$D47&lt;=N$3+6),2,1),""))</f>
        <v/>
      </c>
      <c r="O47" s="29" t="str">
        <f aca="false">IF(OR($C47="",$D47=""),"",IF(AND(O$3&lt;=$D47,O$3+6&gt;=$C47),IF(AND($D47&gt;=O$3,$D47&lt;=O$3+6),2,1),""))</f>
        <v/>
      </c>
      <c r="P47" s="29" t="str">
        <f aca="false">IF(OR($C47="",$D47=""),"",IF(AND(P$3&lt;=$D47,P$3+6&gt;=$C47),IF(AND($D47&gt;=P$3,$D47&lt;=P$3+6),2,1),""))</f>
        <v/>
      </c>
      <c r="Q47" s="29" t="str">
        <f aca="false">IF(OR($C47="",$D47=""),"",IF(AND(Q$3&lt;=$D47,Q$3+6&gt;=$C47),IF(AND($D47&gt;=Q$3,$D47&lt;=Q$3+6),2,1),""))</f>
        <v/>
      </c>
      <c r="R47" s="29" t="str">
        <f aca="false">IF(OR($C47="",$D47=""),"",IF(AND(R$3&lt;=$D47,R$3+6&gt;=$C47),IF(AND($D47&gt;=R$3,$D47&lt;=R$3+6),2,1),""))</f>
        <v/>
      </c>
      <c r="S47" s="29" t="str">
        <f aca="false">IF(OR($C47="",$D47=""),"",IF(AND(S$3&lt;=$D47,S$3+6&gt;=$C47),IF(AND($D47&gt;=S$3,$D47&lt;=S$3+6),2,1),""))</f>
        <v/>
      </c>
      <c r="T47" s="29" t="str">
        <f aca="false">IF(OR($C47="",$D47=""),"",IF(AND(T$3&lt;=$D47,T$3+6&gt;=$C47),IF(AND($D47&gt;=T$3,$D47&lt;=T$3+6),2,1),""))</f>
        <v/>
      </c>
      <c r="U47" s="29" t="str">
        <f aca="false">IF(OR($C47="",$D47=""),"",IF(AND(U$3&lt;=$D47,U$3+6&gt;=$C47),IF(AND($D47&gt;=U$3,$D47&lt;=U$3+6),2,1),""))</f>
        <v/>
      </c>
      <c r="V47" s="29" t="str">
        <f aca="false">IF(OR($C47="",$D47=""),"",IF(AND(V$3&lt;=$D47,V$3+6&gt;=$C47),IF(AND($D47&gt;=V$3,$D47&lt;=V$3+6),2,1),""))</f>
        <v/>
      </c>
      <c r="W47" s="29" t="n">
        <f aca="false">IF(OR($C47="",$D47=""),"",IF(AND(W$3&lt;=$D47,W$3+6&gt;=$C47),IF(AND($D47&gt;=W$3,$D47&lt;=W$3+6),2,1),""))</f>
        <v>1</v>
      </c>
      <c r="X47" s="29" t="n">
        <f aca="false">IF(OR($C47="",$D47=""),"",IF(AND(X$3&lt;=$D47,X$3+6&gt;=$C47),IF(AND($D47&gt;=X$3,$D47&lt;=X$3+6),2,1),""))</f>
        <v>1</v>
      </c>
      <c r="Y47" s="29" t="n">
        <f aca="false">IF(OR($C47="",$D47=""),"",IF(AND(Y$3&lt;=$D47,Y$3+6&gt;=$C47),IF(AND($D47&gt;=Y$3,$D47&lt;=Y$3+6),2,1),""))</f>
        <v>1</v>
      </c>
      <c r="Z47" s="29" t="n">
        <f aca="false">IF(OR($C47="",$D47=""),"",IF(AND(Z$3&lt;=$D47,Z$3+6&gt;=$C47),IF(AND($D47&gt;=Z$3,$D47&lt;=Z$3+6),2,1),""))</f>
        <v>2</v>
      </c>
      <c r="AA47" s="29" t="str">
        <f aca="false">IF(OR($C47="",$D47=""),"",IF(AND(AA$3&lt;=$D47,AA$3+6&gt;=$C47),IF(AND($D47&gt;=AA$3,$D47&lt;=AA$3+6),2,1),""))</f>
        <v/>
      </c>
      <c r="AB47" s="29" t="str">
        <f aca="false">IF(OR($C47="",$D47=""),"",IF(AND(AB$3&lt;=$D47,AB$3+6&gt;=$C47),IF(AND($D47&gt;=AB$3,$D47&lt;=AB$3+6),2,1),""))</f>
        <v/>
      </c>
      <c r="AC47" s="29" t="str">
        <f aca="false">IF(OR($C47="",$D47=""),"",IF(AND(AC$3&lt;=$D47,AC$3+6&gt;=$C47),IF(AND($D47&gt;=AC$3,$D47&lt;=AC$3+6),2,1),""))</f>
        <v/>
      </c>
      <c r="AD47" s="29" t="str">
        <f aca="false">IF(OR($C47="",$D47=""),"",IF(AND(AD$3&lt;=$D47,AD$3+6&gt;=$C47),IF(AND($D47&gt;=AD$3,$D47&lt;=AD$3+6),2,1),""))</f>
        <v/>
      </c>
      <c r="AE47" s="29" t="str">
        <f aca="false">IF(OR($C47="",$D47=""),"",IF(AND(AE$3&lt;=$D47,AE$3+6&gt;=$C47),IF(AND($D47&gt;=AE$3,$D47&lt;=AE$3+6),2,1),""))</f>
        <v/>
      </c>
      <c r="AF47" s="29" t="str">
        <f aca="false">IF(OR($C47="",$D47=""),"",IF(AND(AF$3&lt;=$D47,AF$3+6&gt;=$C47),IF(AND($D47&gt;=AF$3,$D47&lt;=AF$3+6),2,1),""))</f>
        <v/>
      </c>
      <c r="AG47" s="29" t="str">
        <f aca="false">IF(OR($C47="",$D47=""),"",IF(AND(AG$3&lt;=$D47,AG$3+6&gt;=$C47),IF(AND($D47&gt;=AG$3,$D47&lt;=AG$3+6),2,1),""))</f>
        <v/>
      </c>
      <c r="AH47" s="29" t="str">
        <f aca="false">IF(OR($C47="",$D47=""),"",IF(AND(AH$3&lt;=$D47,AH$3+6&gt;=$C47),IF(AND($D47&gt;=AH$3,$D47&lt;=AH$3+6),2,1),""))</f>
        <v/>
      </c>
      <c r="AI47" s="29" t="str">
        <f aca="false">IF(OR($C47="",$D47=""),"",IF(AND(AI$3&lt;=$D47,AI$3+6&gt;=$C47),IF(AND($D47&gt;=AI$3,$D47&lt;=AI$3+6),2,1),""))</f>
        <v/>
      </c>
      <c r="AJ47" s="29" t="str">
        <f aca="false">IF(OR($C47="",$D47=""),"",IF(AND(AJ$3&lt;=$D47,AJ$3+6&gt;=$C47),IF(AND($D47&gt;=AJ$3,$D47&lt;=AJ$3+6),2,1),""))</f>
        <v/>
      </c>
      <c r="AK47" s="29" t="str">
        <f aca="false">IF(OR($C47="",$D47=""),"",IF(AND(AK$3&lt;=$D47,AK$3+6&gt;=$C47),IF(AND($D47&gt;=AK$3,$D47&lt;=AK$3+6),2,1),""))</f>
        <v/>
      </c>
      <c r="AL47" s="29" t="str">
        <f aca="false">IF(OR($C47="",$D47=""),"",IF(AND(AL$3&lt;=$D47,AL$3+6&gt;=$C47),IF(AND($D47&gt;=AL$3,$D47&lt;=AL$3+6),2,1),""))</f>
        <v/>
      </c>
      <c r="AM47" s="29" t="str">
        <f aca="false">IF(OR($C47="",$D47=""),"",IF(AND(AM$3&lt;=$D47,AM$3+6&gt;=$C47),IF(AND($D47&gt;=AM$3,$D47&lt;=AM$3+6),2,1),""))</f>
        <v/>
      </c>
      <c r="AN47" s="29" t="str">
        <f aca="false">IF(OR($C47="",$D47=""),"",IF(AND(AN$3&lt;=$D47,AN$3+6&gt;=$C47),IF(AND($D47&gt;=AN$3,$D47&lt;=AN$3+6),2,1),""))</f>
        <v/>
      </c>
      <c r="AO47" s="29" t="str">
        <f aca="false">IF(OR($C47="",$D47=""),"",IF(AND(AO$3&lt;=$D47,AO$3+6&gt;=$C47),IF(AND($D47&gt;=AO$3,$D47&lt;=AO$3+6),2,1),""))</f>
        <v/>
      </c>
      <c r="AP47" s="29" t="str">
        <f aca="false">IF(OR($C47="",$D47=""),"",IF(AND(AP$3&lt;=$D47,AP$3+6&gt;=$C47),IF(AND($D47&gt;=AP$3,$D47&lt;=AP$3+6),2,1),""))</f>
        <v/>
      </c>
      <c r="AQ47" s="29" t="str">
        <f aca="false">IF(OR($C47="",$D47=""),"",IF(AND(AQ$3&lt;=$D47,AQ$3+6&gt;=$C47),IF(AND($D47&gt;=AQ$3,$D47&lt;=AQ$3+6),2,1),""))</f>
        <v/>
      </c>
      <c r="AR47" s="29" t="str">
        <f aca="false">IF(OR($C47="",$D47=""),"",IF(AND(AR$3&lt;=$D47,AR$3+6&gt;=$C47),IF(AND($D47&gt;=AR$3,$D47&lt;=AR$3+6),2,1),""))</f>
        <v/>
      </c>
      <c r="AS47" s="29" t="str">
        <f aca="false">IF(OR($C47="",$D47=""),"",IF(AND(AS$3&lt;=$D47,AS$3+6&gt;=$C47),IF(AND($D47&gt;=AS$3,$D47&lt;=AS$3+6),2,1),""))</f>
        <v/>
      </c>
      <c r="AT47" s="29" t="str">
        <f aca="false">IF(OR($C47="",$D47=""),"",IF(AND(AT$3&lt;=$D47,AT$3+6&gt;=$C47),IF(AND($D47&gt;=AT$3,$D47&lt;=AT$3+6),2,1),""))</f>
        <v/>
      </c>
      <c r="AU47" s="29" t="str">
        <f aca="false">IF(OR($C47="",$D47=""),"",IF(AND(AU$3&lt;=$D47,AU$3+6&gt;=$C47),IF(AND($D47&gt;=AU$3,$D47&lt;=AU$3+6),2,1),""))</f>
        <v/>
      </c>
      <c r="AV47" s="29" t="str">
        <f aca="false">IF(OR($C47="",$D47=""),"",IF(AND(AV$3&lt;=$D47,AV$3+6&gt;=$C47),IF(AND($D47&gt;=AV$3,$D47&lt;=AV$3+6),2,1),""))</f>
        <v/>
      </c>
      <c r="AW47" s="29" t="str">
        <f aca="false">IF(OR($C47="",$D47=""),"",IF(AND(AW$3&lt;=$D47,AW$3+6&gt;=$C47),IF(AND($D47&gt;=AW$3,$D47&lt;=AW$3+6),2,1),""))</f>
        <v/>
      </c>
      <c r="AX47" s="29" t="str">
        <f aca="false">IF(OR($C47="",$D47=""),"",IF(AND(AX$3&lt;=$D47,AX$3+6&gt;=$C47),IF(AND($D47&gt;=AX$3,$D47&lt;=AX$3+6),2,1),""))</f>
        <v/>
      </c>
      <c r="AY47" s="29" t="str">
        <f aca="false">IF(OR($C47="",$D47=""),"",IF(AND(AY$3&lt;=$D47,AY$3+6&gt;=$C47),IF(AND($D47&gt;=AY$3,$D47&lt;=AY$3+6),2,1),""))</f>
        <v/>
      </c>
      <c r="AZ47" s="29" t="str">
        <f aca="false">IF(OR($C47="",$D47=""),"",IF(AND(AZ$3&lt;=$D47,AZ$3+6&gt;=$C47),IF(AND($D47&gt;=AZ$3,$D47&lt;=AZ$3+6),2,1),""))</f>
        <v/>
      </c>
      <c r="BA47" s="29" t="str">
        <f aca="false">IF(OR($C47="",$D47=""),"",IF(AND(BA$3&lt;=$D47,BA$3+6&gt;=$C47),IF(AND($D47&gt;=BA$3,$D47&lt;=BA$3+6),2,1),""))</f>
        <v/>
      </c>
      <c r="BB47" s="29" t="str">
        <f aca="false">IF(OR($C47="",$D47=""),"",IF(AND(BB$3&lt;=$D47,BB$3+6&gt;=$C47),IF(AND($D47&gt;=BB$3,$D47&lt;=BB$3+6),2,1),""))</f>
        <v/>
      </c>
      <c r="BC47" s="29" t="str">
        <f aca="false">IF(OR($C47="",$D47=""),"",IF(AND(BC$3&lt;=$D47,BC$3+6&gt;=$C47),IF(AND($D47&gt;=BC$3,$D47&lt;=BC$3+6),2,1),""))</f>
        <v/>
      </c>
      <c r="BD47" s="29" t="str">
        <f aca="false">IF(OR($C47="",$D47=""),"",IF(AND(BD$3&lt;=$D47,BD$3+6&gt;=$C47),IF(AND($D47&gt;=BD$3,$D47&lt;=BD$3+6),2,1),""))</f>
        <v/>
      </c>
      <c r="BE47" s="29" t="str">
        <f aca="false">IF(OR($C47="",$D47=""),"",IF(AND(BE$3&lt;=$D47,BE$3+6&gt;=$C47),IF(AND($D47&gt;=BE$3,$D47&lt;=BE$3+6),2,1),""))</f>
        <v/>
      </c>
      <c r="BF47" s="29" t="str">
        <f aca="false">IF(OR($C47="",$D47=""),"",IF(AND(BF$3&lt;=$D47,BF$3+6&gt;=$C47),IF(AND($D47&gt;=BF$3,$D47&lt;=BF$3+6),2,1),""))</f>
        <v/>
      </c>
    </row>
    <row r="48" customFormat="false" ht="15" hidden="false" customHeight="true" outlineLevel="0" collapsed="false">
      <c r="A48" s="16" t="s">
        <v>333</v>
      </c>
      <c r="B48" s="27" t="str">
        <f aca="false">IFERROR(INDEX(Plan!$C$2:$C$400,MATCH($A48,Plan!$A$2:$A$400,0)),"")</f>
        <v>Builder training and certification</v>
      </c>
      <c r="C48" s="28" t="n">
        <f aca="false">IFERROR(INDEX(Plan!$I$2:$I$400,MATCH($A48,Plan!$A$2:$A$400,0)),"")</f>
        <v>46419</v>
      </c>
      <c r="D48" s="28" t="n">
        <f aca="false">IFERROR(INDEX(Plan!$J$2:$J$400,MATCH($A48,Plan!$A$2:$A$400,0)),"")</f>
        <v>46598</v>
      </c>
      <c r="E48" s="29" t="str">
        <f aca="false">IF(OR($C48="",$D48=""),"",IF(AND(E$3&lt;=$D48,E$3+6&gt;=$C48),IF(AND($D48&gt;=E$3,$D48&lt;=E$3+6),2,1),""))</f>
        <v/>
      </c>
      <c r="F48" s="29" t="str">
        <f aca="false">IF(OR($C48="",$D48=""),"",IF(AND(F$3&lt;=$D48,F$3+6&gt;=$C48),IF(AND($D48&gt;=F$3,$D48&lt;=F$3+6),2,1),""))</f>
        <v/>
      </c>
      <c r="G48" s="29" t="str">
        <f aca="false">IF(OR($C48="",$D48=""),"",IF(AND(G$3&lt;=$D48,G$3+6&gt;=$C48),IF(AND($D48&gt;=G$3,$D48&lt;=G$3+6),2,1),""))</f>
        <v/>
      </c>
      <c r="H48" s="29" t="str">
        <f aca="false">IF(OR($C48="",$D48=""),"",IF(AND(H$3&lt;=$D48,H$3+6&gt;=$C48),IF(AND($D48&gt;=H$3,$D48&lt;=H$3+6),2,1),""))</f>
        <v/>
      </c>
      <c r="I48" s="29" t="str">
        <f aca="false">IF(OR($C48="",$D48=""),"",IF(AND(I$3&lt;=$D48,I$3+6&gt;=$C48),IF(AND($D48&gt;=I$3,$D48&lt;=I$3+6),2,1),""))</f>
        <v/>
      </c>
      <c r="J48" s="29" t="str">
        <f aca="false">IF(OR($C48="",$D48=""),"",IF(AND(J$3&lt;=$D48,J$3+6&gt;=$C48),IF(AND($D48&gt;=J$3,$D48&lt;=J$3+6),2,1),""))</f>
        <v/>
      </c>
      <c r="K48" s="29" t="str">
        <f aca="false">IF(OR($C48="",$D48=""),"",IF(AND(K$3&lt;=$D48,K$3+6&gt;=$C48),IF(AND($D48&gt;=K$3,$D48&lt;=K$3+6),2,1),""))</f>
        <v/>
      </c>
      <c r="L48" s="29" t="str">
        <f aca="false">IF(OR($C48="",$D48=""),"",IF(AND(L$3&lt;=$D48,L$3+6&gt;=$C48),IF(AND($D48&gt;=L$3,$D48&lt;=L$3+6),2,1),""))</f>
        <v/>
      </c>
      <c r="M48" s="29" t="str">
        <f aca="false">IF(OR($C48="",$D48=""),"",IF(AND(M$3&lt;=$D48,M$3+6&gt;=$C48),IF(AND($D48&gt;=M$3,$D48&lt;=M$3+6),2,1),""))</f>
        <v/>
      </c>
      <c r="N48" s="29" t="str">
        <f aca="false">IF(OR($C48="",$D48=""),"",IF(AND(N$3&lt;=$D48,N$3+6&gt;=$C48),IF(AND($D48&gt;=N$3,$D48&lt;=N$3+6),2,1),""))</f>
        <v/>
      </c>
      <c r="O48" s="29" t="str">
        <f aca="false">IF(OR($C48="",$D48=""),"",IF(AND(O$3&lt;=$D48,O$3+6&gt;=$C48),IF(AND($D48&gt;=O$3,$D48&lt;=O$3+6),2,1),""))</f>
        <v/>
      </c>
      <c r="P48" s="29" t="str">
        <f aca="false">IF(OR($C48="",$D48=""),"",IF(AND(P$3&lt;=$D48,P$3+6&gt;=$C48),IF(AND($D48&gt;=P$3,$D48&lt;=P$3+6),2,1),""))</f>
        <v/>
      </c>
      <c r="Q48" s="29" t="str">
        <f aca="false">IF(OR($C48="",$D48=""),"",IF(AND(Q$3&lt;=$D48,Q$3+6&gt;=$C48),IF(AND($D48&gt;=Q$3,$D48&lt;=Q$3+6),2,1),""))</f>
        <v/>
      </c>
      <c r="R48" s="29" t="str">
        <f aca="false">IF(OR($C48="",$D48=""),"",IF(AND(R$3&lt;=$D48,R$3+6&gt;=$C48),IF(AND($D48&gt;=R$3,$D48&lt;=R$3+6),2,1),""))</f>
        <v/>
      </c>
      <c r="S48" s="29" t="n">
        <f aca="false">IF(OR($C48="",$D48=""),"",IF(AND(S$3&lt;=$D48,S$3+6&gt;=$C48),IF(AND($D48&gt;=S$3,$D48&lt;=S$3+6),2,1),""))</f>
        <v>1</v>
      </c>
      <c r="T48" s="29" t="n">
        <f aca="false">IF(OR($C48="",$D48=""),"",IF(AND(T$3&lt;=$D48,T$3+6&gt;=$C48),IF(AND($D48&gt;=T$3,$D48&lt;=T$3+6),2,1),""))</f>
        <v>1</v>
      </c>
      <c r="U48" s="29" t="n">
        <f aca="false">IF(OR($C48="",$D48=""),"",IF(AND(U$3&lt;=$D48,U$3+6&gt;=$C48),IF(AND($D48&gt;=U$3,$D48&lt;=U$3+6),2,1),""))</f>
        <v>1</v>
      </c>
      <c r="V48" s="29" t="n">
        <f aca="false">IF(OR($C48="",$D48=""),"",IF(AND(V$3&lt;=$D48,V$3+6&gt;=$C48),IF(AND($D48&gt;=V$3,$D48&lt;=V$3+6),2,1),""))</f>
        <v>1</v>
      </c>
      <c r="W48" s="29" t="n">
        <f aca="false">IF(OR($C48="",$D48=""),"",IF(AND(W$3&lt;=$D48,W$3+6&gt;=$C48),IF(AND($D48&gt;=W$3,$D48&lt;=W$3+6),2,1),""))</f>
        <v>1</v>
      </c>
      <c r="X48" s="29" t="n">
        <f aca="false">IF(OR($C48="",$D48=""),"",IF(AND(X$3&lt;=$D48,X$3+6&gt;=$C48),IF(AND($D48&gt;=X$3,$D48&lt;=X$3+6),2,1),""))</f>
        <v>1</v>
      </c>
      <c r="Y48" s="29" t="n">
        <f aca="false">IF(OR($C48="",$D48=""),"",IF(AND(Y$3&lt;=$D48,Y$3+6&gt;=$C48),IF(AND($D48&gt;=Y$3,$D48&lt;=Y$3+6),2,1),""))</f>
        <v>1</v>
      </c>
      <c r="Z48" s="29" t="n">
        <f aca="false">IF(OR($C48="",$D48=""),"",IF(AND(Z$3&lt;=$D48,Z$3+6&gt;=$C48),IF(AND($D48&gt;=Z$3,$D48&lt;=Z$3+6),2,1),""))</f>
        <v>1</v>
      </c>
      <c r="AA48" s="29" t="n">
        <f aca="false">IF(OR($C48="",$D48=""),"",IF(AND(AA$3&lt;=$D48,AA$3+6&gt;=$C48),IF(AND($D48&gt;=AA$3,$D48&lt;=AA$3+6),2,1),""))</f>
        <v>1</v>
      </c>
      <c r="AB48" s="29" t="n">
        <f aca="false">IF(OR($C48="",$D48=""),"",IF(AND(AB$3&lt;=$D48,AB$3+6&gt;=$C48),IF(AND($D48&gt;=AB$3,$D48&lt;=AB$3+6),2,1),""))</f>
        <v>1</v>
      </c>
      <c r="AC48" s="29" t="n">
        <f aca="false">IF(OR($C48="",$D48=""),"",IF(AND(AC$3&lt;=$D48,AC$3+6&gt;=$C48),IF(AND($D48&gt;=AC$3,$D48&lt;=AC$3+6),2,1),""))</f>
        <v>1</v>
      </c>
      <c r="AD48" s="29" t="n">
        <f aca="false">IF(OR($C48="",$D48=""),"",IF(AND(AD$3&lt;=$D48,AD$3+6&gt;=$C48),IF(AND($D48&gt;=AD$3,$D48&lt;=AD$3+6),2,1),""))</f>
        <v>1</v>
      </c>
      <c r="AE48" s="29" t="n">
        <f aca="false">IF(OR($C48="",$D48=""),"",IF(AND(AE$3&lt;=$D48,AE$3+6&gt;=$C48),IF(AND($D48&gt;=AE$3,$D48&lt;=AE$3+6),2,1),""))</f>
        <v>1</v>
      </c>
      <c r="AF48" s="29" t="n">
        <f aca="false">IF(OR($C48="",$D48=""),"",IF(AND(AF$3&lt;=$D48,AF$3+6&gt;=$C48),IF(AND($D48&gt;=AF$3,$D48&lt;=AF$3+6),2,1),""))</f>
        <v>1</v>
      </c>
      <c r="AG48" s="29" t="n">
        <f aca="false">IF(OR($C48="",$D48=""),"",IF(AND(AG$3&lt;=$D48,AG$3+6&gt;=$C48),IF(AND($D48&gt;=AG$3,$D48&lt;=AG$3+6),2,1),""))</f>
        <v>1</v>
      </c>
      <c r="AH48" s="29" t="n">
        <f aca="false">IF(OR($C48="",$D48=""),"",IF(AND(AH$3&lt;=$D48,AH$3+6&gt;=$C48),IF(AND($D48&gt;=AH$3,$D48&lt;=AH$3+6),2,1),""))</f>
        <v>1</v>
      </c>
      <c r="AI48" s="29" t="n">
        <f aca="false">IF(OR($C48="",$D48=""),"",IF(AND(AI$3&lt;=$D48,AI$3+6&gt;=$C48),IF(AND($D48&gt;=AI$3,$D48&lt;=AI$3+6),2,1),""))</f>
        <v>1</v>
      </c>
      <c r="AJ48" s="29" t="n">
        <f aca="false">IF(OR($C48="",$D48=""),"",IF(AND(AJ$3&lt;=$D48,AJ$3+6&gt;=$C48),IF(AND($D48&gt;=AJ$3,$D48&lt;=AJ$3+6),2,1),""))</f>
        <v>1</v>
      </c>
      <c r="AK48" s="29" t="n">
        <f aca="false">IF(OR($C48="",$D48=""),"",IF(AND(AK$3&lt;=$D48,AK$3+6&gt;=$C48),IF(AND($D48&gt;=AK$3,$D48&lt;=AK$3+6),2,1),""))</f>
        <v>1</v>
      </c>
      <c r="AL48" s="29" t="n">
        <f aca="false">IF(OR($C48="",$D48=""),"",IF(AND(AL$3&lt;=$D48,AL$3+6&gt;=$C48),IF(AND($D48&gt;=AL$3,$D48&lt;=AL$3+6),2,1),""))</f>
        <v>1</v>
      </c>
      <c r="AM48" s="29" t="n">
        <f aca="false">IF(OR($C48="",$D48=""),"",IF(AND(AM$3&lt;=$D48,AM$3+6&gt;=$C48),IF(AND($D48&gt;=AM$3,$D48&lt;=AM$3+6),2,1),""))</f>
        <v>1</v>
      </c>
      <c r="AN48" s="29" t="n">
        <f aca="false">IF(OR($C48="",$D48=""),"",IF(AND(AN$3&lt;=$D48,AN$3+6&gt;=$C48),IF(AND($D48&gt;=AN$3,$D48&lt;=AN$3+6),2,1),""))</f>
        <v>1</v>
      </c>
      <c r="AO48" s="29" t="n">
        <f aca="false">IF(OR($C48="",$D48=""),"",IF(AND(AO$3&lt;=$D48,AO$3+6&gt;=$C48),IF(AND($D48&gt;=AO$3,$D48&lt;=AO$3+6),2,1),""))</f>
        <v>1</v>
      </c>
      <c r="AP48" s="29" t="n">
        <f aca="false">IF(OR($C48="",$D48=""),"",IF(AND(AP$3&lt;=$D48,AP$3+6&gt;=$C48),IF(AND($D48&gt;=AP$3,$D48&lt;=AP$3+6),2,1),""))</f>
        <v>1</v>
      </c>
      <c r="AQ48" s="29" t="n">
        <f aca="false">IF(OR($C48="",$D48=""),"",IF(AND(AQ$3&lt;=$D48,AQ$3+6&gt;=$C48),IF(AND($D48&gt;=AQ$3,$D48&lt;=AQ$3+6),2,1),""))</f>
        <v>1</v>
      </c>
      <c r="AR48" s="29" t="n">
        <f aca="false">IF(OR($C48="",$D48=""),"",IF(AND(AR$3&lt;=$D48,AR$3+6&gt;=$C48),IF(AND($D48&gt;=AR$3,$D48&lt;=AR$3+6),2,1),""))</f>
        <v>2</v>
      </c>
      <c r="AS48" s="29" t="str">
        <f aca="false">IF(OR($C48="",$D48=""),"",IF(AND(AS$3&lt;=$D48,AS$3+6&gt;=$C48),IF(AND($D48&gt;=AS$3,$D48&lt;=AS$3+6),2,1),""))</f>
        <v/>
      </c>
      <c r="AT48" s="29" t="str">
        <f aca="false">IF(OR($C48="",$D48=""),"",IF(AND(AT$3&lt;=$D48,AT$3+6&gt;=$C48),IF(AND($D48&gt;=AT$3,$D48&lt;=AT$3+6),2,1),""))</f>
        <v/>
      </c>
      <c r="AU48" s="29" t="str">
        <f aca="false">IF(OR($C48="",$D48=""),"",IF(AND(AU$3&lt;=$D48,AU$3+6&gt;=$C48),IF(AND($D48&gt;=AU$3,$D48&lt;=AU$3+6),2,1),""))</f>
        <v/>
      </c>
      <c r="AV48" s="29" t="str">
        <f aca="false">IF(OR($C48="",$D48=""),"",IF(AND(AV$3&lt;=$D48,AV$3+6&gt;=$C48),IF(AND($D48&gt;=AV$3,$D48&lt;=AV$3+6),2,1),""))</f>
        <v/>
      </c>
      <c r="AW48" s="29" t="str">
        <f aca="false">IF(OR($C48="",$D48=""),"",IF(AND(AW$3&lt;=$D48,AW$3+6&gt;=$C48),IF(AND($D48&gt;=AW$3,$D48&lt;=AW$3+6),2,1),""))</f>
        <v/>
      </c>
      <c r="AX48" s="29" t="str">
        <f aca="false">IF(OR($C48="",$D48=""),"",IF(AND(AX$3&lt;=$D48,AX$3+6&gt;=$C48),IF(AND($D48&gt;=AX$3,$D48&lt;=AX$3+6),2,1),""))</f>
        <v/>
      </c>
      <c r="AY48" s="29" t="str">
        <f aca="false">IF(OR($C48="",$D48=""),"",IF(AND(AY$3&lt;=$D48,AY$3+6&gt;=$C48),IF(AND($D48&gt;=AY$3,$D48&lt;=AY$3+6),2,1),""))</f>
        <v/>
      </c>
      <c r="AZ48" s="29" t="str">
        <f aca="false">IF(OR($C48="",$D48=""),"",IF(AND(AZ$3&lt;=$D48,AZ$3+6&gt;=$C48),IF(AND($D48&gt;=AZ$3,$D48&lt;=AZ$3+6),2,1),""))</f>
        <v/>
      </c>
      <c r="BA48" s="29" t="str">
        <f aca="false">IF(OR($C48="",$D48=""),"",IF(AND(BA$3&lt;=$D48,BA$3+6&gt;=$C48),IF(AND($D48&gt;=BA$3,$D48&lt;=BA$3+6),2,1),""))</f>
        <v/>
      </c>
      <c r="BB48" s="29" t="str">
        <f aca="false">IF(OR($C48="",$D48=""),"",IF(AND(BB$3&lt;=$D48,BB$3+6&gt;=$C48),IF(AND($D48&gt;=BB$3,$D48&lt;=BB$3+6),2,1),""))</f>
        <v/>
      </c>
      <c r="BC48" s="29" t="str">
        <f aca="false">IF(OR($C48="",$D48=""),"",IF(AND(BC$3&lt;=$D48,BC$3+6&gt;=$C48),IF(AND($D48&gt;=BC$3,$D48&lt;=BC$3+6),2,1),""))</f>
        <v/>
      </c>
      <c r="BD48" s="29" t="str">
        <f aca="false">IF(OR($C48="",$D48=""),"",IF(AND(BD$3&lt;=$D48,BD$3+6&gt;=$C48),IF(AND($D48&gt;=BD$3,$D48&lt;=BD$3+6),2,1),""))</f>
        <v/>
      </c>
      <c r="BE48" s="29" t="str">
        <f aca="false">IF(OR($C48="",$D48=""),"",IF(AND(BE$3&lt;=$D48,BE$3+6&gt;=$C48),IF(AND($D48&gt;=BE$3,$D48&lt;=BE$3+6),2,1),""))</f>
        <v/>
      </c>
      <c r="BF48" s="29" t="str">
        <f aca="false">IF(OR($C48="",$D48=""),"",IF(AND(BF$3&lt;=$D48,BF$3+6&gt;=$C48),IF(AND($D48&gt;=BF$3,$D48&lt;=BF$3+6),2,1),""))</f>
        <v/>
      </c>
    </row>
    <row r="49" customFormat="false" ht="15" hidden="false" customHeight="true" outlineLevel="0" collapsed="false">
      <c r="A49" s="16" t="s">
        <v>338</v>
      </c>
      <c r="B49" s="27" t="str">
        <f aca="false">IFERROR(INDEX(Plan!$C$2:$C$400,MATCH($A49,Plan!$A$2:$A$400,0)),"")</f>
        <v>Role in the career framework</v>
      </c>
      <c r="C49" s="28" t="n">
        <f aca="false">IFERROR(INDEX(Plan!$I$2:$I$400,MATCH($A49,Plan!$A$2:$A$400,0)),"")</f>
        <v>46510</v>
      </c>
      <c r="D49" s="28" t="n">
        <f aca="false">IFERROR(INDEX(Plan!$J$2:$J$400,MATCH($A49,Plan!$A$2:$A$400,0)),"")</f>
        <v>46598</v>
      </c>
      <c r="E49" s="29" t="str">
        <f aca="false">IF(OR($C49="",$D49=""),"",IF(AND(E$3&lt;=$D49,E$3+6&gt;=$C49),IF(AND($D49&gt;=E$3,$D49&lt;=E$3+6),2,1),""))</f>
        <v/>
      </c>
      <c r="F49" s="29" t="str">
        <f aca="false">IF(OR($C49="",$D49=""),"",IF(AND(F$3&lt;=$D49,F$3+6&gt;=$C49),IF(AND($D49&gt;=F$3,$D49&lt;=F$3+6),2,1),""))</f>
        <v/>
      </c>
      <c r="G49" s="29" t="str">
        <f aca="false">IF(OR($C49="",$D49=""),"",IF(AND(G$3&lt;=$D49,G$3+6&gt;=$C49),IF(AND($D49&gt;=G$3,$D49&lt;=G$3+6),2,1),""))</f>
        <v/>
      </c>
      <c r="H49" s="29" t="str">
        <f aca="false">IF(OR($C49="",$D49=""),"",IF(AND(H$3&lt;=$D49,H$3+6&gt;=$C49),IF(AND($D49&gt;=H$3,$D49&lt;=H$3+6),2,1),""))</f>
        <v/>
      </c>
      <c r="I49" s="29" t="str">
        <f aca="false">IF(OR($C49="",$D49=""),"",IF(AND(I$3&lt;=$D49,I$3+6&gt;=$C49),IF(AND($D49&gt;=I$3,$D49&lt;=I$3+6),2,1),""))</f>
        <v/>
      </c>
      <c r="J49" s="29" t="str">
        <f aca="false">IF(OR($C49="",$D49=""),"",IF(AND(J$3&lt;=$D49,J$3+6&gt;=$C49),IF(AND($D49&gt;=J$3,$D49&lt;=J$3+6),2,1),""))</f>
        <v/>
      </c>
      <c r="K49" s="29" t="str">
        <f aca="false">IF(OR($C49="",$D49=""),"",IF(AND(K$3&lt;=$D49,K$3+6&gt;=$C49),IF(AND($D49&gt;=K$3,$D49&lt;=K$3+6),2,1),""))</f>
        <v/>
      </c>
      <c r="L49" s="29" t="str">
        <f aca="false">IF(OR($C49="",$D49=""),"",IF(AND(L$3&lt;=$D49,L$3+6&gt;=$C49),IF(AND($D49&gt;=L$3,$D49&lt;=L$3+6),2,1),""))</f>
        <v/>
      </c>
      <c r="M49" s="29" t="str">
        <f aca="false">IF(OR($C49="",$D49=""),"",IF(AND(M$3&lt;=$D49,M$3+6&gt;=$C49),IF(AND($D49&gt;=M$3,$D49&lt;=M$3+6),2,1),""))</f>
        <v/>
      </c>
      <c r="N49" s="29" t="str">
        <f aca="false">IF(OR($C49="",$D49=""),"",IF(AND(N$3&lt;=$D49,N$3+6&gt;=$C49),IF(AND($D49&gt;=N$3,$D49&lt;=N$3+6),2,1),""))</f>
        <v/>
      </c>
      <c r="O49" s="29" t="str">
        <f aca="false">IF(OR($C49="",$D49=""),"",IF(AND(O$3&lt;=$D49,O$3+6&gt;=$C49),IF(AND($D49&gt;=O$3,$D49&lt;=O$3+6),2,1),""))</f>
        <v/>
      </c>
      <c r="P49" s="29" t="str">
        <f aca="false">IF(OR($C49="",$D49=""),"",IF(AND(P$3&lt;=$D49,P$3+6&gt;=$C49),IF(AND($D49&gt;=P$3,$D49&lt;=P$3+6),2,1),""))</f>
        <v/>
      </c>
      <c r="Q49" s="29" t="str">
        <f aca="false">IF(OR($C49="",$D49=""),"",IF(AND(Q$3&lt;=$D49,Q$3+6&gt;=$C49),IF(AND($D49&gt;=Q$3,$D49&lt;=Q$3+6),2,1),""))</f>
        <v/>
      </c>
      <c r="R49" s="29" t="str">
        <f aca="false">IF(OR($C49="",$D49=""),"",IF(AND(R$3&lt;=$D49,R$3+6&gt;=$C49),IF(AND($D49&gt;=R$3,$D49&lt;=R$3+6),2,1),""))</f>
        <v/>
      </c>
      <c r="S49" s="29" t="str">
        <f aca="false">IF(OR($C49="",$D49=""),"",IF(AND(S$3&lt;=$D49,S$3+6&gt;=$C49),IF(AND($D49&gt;=S$3,$D49&lt;=S$3+6),2,1),""))</f>
        <v/>
      </c>
      <c r="T49" s="29" t="str">
        <f aca="false">IF(OR($C49="",$D49=""),"",IF(AND(T$3&lt;=$D49,T$3+6&gt;=$C49),IF(AND($D49&gt;=T$3,$D49&lt;=T$3+6),2,1),""))</f>
        <v/>
      </c>
      <c r="U49" s="29" t="str">
        <f aca="false">IF(OR($C49="",$D49=""),"",IF(AND(U$3&lt;=$D49,U$3+6&gt;=$C49),IF(AND($D49&gt;=U$3,$D49&lt;=U$3+6),2,1),""))</f>
        <v/>
      </c>
      <c r="V49" s="29" t="str">
        <f aca="false">IF(OR($C49="",$D49=""),"",IF(AND(V$3&lt;=$D49,V$3+6&gt;=$C49),IF(AND($D49&gt;=V$3,$D49&lt;=V$3+6),2,1),""))</f>
        <v/>
      </c>
      <c r="W49" s="29" t="str">
        <f aca="false">IF(OR($C49="",$D49=""),"",IF(AND(W$3&lt;=$D49,W$3+6&gt;=$C49),IF(AND($D49&gt;=W$3,$D49&lt;=W$3+6),2,1),""))</f>
        <v/>
      </c>
      <c r="X49" s="29" t="str">
        <f aca="false">IF(OR($C49="",$D49=""),"",IF(AND(X$3&lt;=$D49,X$3+6&gt;=$C49),IF(AND($D49&gt;=X$3,$D49&lt;=X$3+6),2,1),""))</f>
        <v/>
      </c>
      <c r="Y49" s="29" t="str">
        <f aca="false">IF(OR($C49="",$D49=""),"",IF(AND(Y$3&lt;=$D49,Y$3+6&gt;=$C49),IF(AND($D49&gt;=Y$3,$D49&lt;=Y$3+6),2,1),""))</f>
        <v/>
      </c>
      <c r="Z49" s="29" t="str">
        <f aca="false">IF(OR($C49="",$D49=""),"",IF(AND(Z$3&lt;=$D49,Z$3+6&gt;=$C49),IF(AND($D49&gt;=Z$3,$D49&lt;=Z$3+6),2,1),""))</f>
        <v/>
      </c>
      <c r="AA49" s="29" t="str">
        <f aca="false">IF(OR($C49="",$D49=""),"",IF(AND(AA$3&lt;=$D49,AA$3+6&gt;=$C49),IF(AND($D49&gt;=AA$3,$D49&lt;=AA$3+6),2,1),""))</f>
        <v/>
      </c>
      <c r="AB49" s="29" t="str">
        <f aca="false">IF(OR($C49="",$D49=""),"",IF(AND(AB$3&lt;=$D49,AB$3+6&gt;=$C49),IF(AND($D49&gt;=AB$3,$D49&lt;=AB$3+6),2,1),""))</f>
        <v/>
      </c>
      <c r="AC49" s="29" t="str">
        <f aca="false">IF(OR($C49="",$D49=""),"",IF(AND(AC$3&lt;=$D49,AC$3+6&gt;=$C49),IF(AND($D49&gt;=AC$3,$D49&lt;=AC$3+6),2,1),""))</f>
        <v/>
      </c>
      <c r="AD49" s="29" t="str">
        <f aca="false">IF(OR($C49="",$D49=""),"",IF(AND(AD$3&lt;=$D49,AD$3+6&gt;=$C49),IF(AND($D49&gt;=AD$3,$D49&lt;=AD$3+6),2,1),""))</f>
        <v/>
      </c>
      <c r="AE49" s="29" t="str">
        <f aca="false">IF(OR($C49="",$D49=""),"",IF(AND(AE$3&lt;=$D49,AE$3+6&gt;=$C49),IF(AND($D49&gt;=AE$3,$D49&lt;=AE$3+6),2,1),""))</f>
        <v/>
      </c>
      <c r="AF49" s="29" t="n">
        <f aca="false">IF(OR($C49="",$D49=""),"",IF(AND(AF$3&lt;=$D49,AF$3+6&gt;=$C49),IF(AND($D49&gt;=AF$3,$D49&lt;=AF$3+6),2,1),""))</f>
        <v>1</v>
      </c>
      <c r="AG49" s="29" t="n">
        <f aca="false">IF(OR($C49="",$D49=""),"",IF(AND(AG$3&lt;=$D49,AG$3+6&gt;=$C49),IF(AND($D49&gt;=AG$3,$D49&lt;=AG$3+6),2,1),""))</f>
        <v>1</v>
      </c>
      <c r="AH49" s="29" t="n">
        <f aca="false">IF(OR($C49="",$D49=""),"",IF(AND(AH$3&lt;=$D49,AH$3+6&gt;=$C49),IF(AND($D49&gt;=AH$3,$D49&lt;=AH$3+6),2,1),""))</f>
        <v>1</v>
      </c>
      <c r="AI49" s="29" t="n">
        <f aca="false">IF(OR($C49="",$D49=""),"",IF(AND(AI$3&lt;=$D49,AI$3+6&gt;=$C49),IF(AND($D49&gt;=AI$3,$D49&lt;=AI$3+6),2,1),""))</f>
        <v>1</v>
      </c>
      <c r="AJ49" s="29" t="n">
        <f aca="false">IF(OR($C49="",$D49=""),"",IF(AND(AJ$3&lt;=$D49,AJ$3+6&gt;=$C49),IF(AND($D49&gt;=AJ$3,$D49&lt;=AJ$3+6),2,1),""))</f>
        <v>1</v>
      </c>
      <c r="AK49" s="29" t="n">
        <f aca="false">IF(OR($C49="",$D49=""),"",IF(AND(AK$3&lt;=$D49,AK$3+6&gt;=$C49),IF(AND($D49&gt;=AK$3,$D49&lt;=AK$3+6),2,1),""))</f>
        <v>1</v>
      </c>
      <c r="AL49" s="29" t="n">
        <f aca="false">IF(OR($C49="",$D49=""),"",IF(AND(AL$3&lt;=$D49,AL$3+6&gt;=$C49),IF(AND($D49&gt;=AL$3,$D49&lt;=AL$3+6),2,1),""))</f>
        <v>1</v>
      </c>
      <c r="AM49" s="29" t="n">
        <f aca="false">IF(OR($C49="",$D49=""),"",IF(AND(AM$3&lt;=$D49,AM$3+6&gt;=$C49),IF(AND($D49&gt;=AM$3,$D49&lt;=AM$3+6),2,1),""))</f>
        <v>1</v>
      </c>
      <c r="AN49" s="29" t="n">
        <f aca="false">IF(OR($C49="",$D49=""),"",IF(AND(AN$3&lt;=$D49,AN$3+6&gt;=$C49),IF(AND($D49&gt;=AN$3,$D49&lt;=AN$3+6),2,1),""))</f>
        <v>1</v>
      </c>
      <c r="AO49" s="29" t="n">
        <f aca="false">IF(OR($C49="",$D49=""),"",IF(AND(AO$3&lt;=$D49,AO$3+6&gt;=$C49),IF(AND($D49&gt;=AO$3,$D49&lt;=AO$3+6),2,1),""))</f>
        <v>1</v>
      </c>
      <c r="AP49" s="29" t="n">
        <f aca="false">IF(OR($C49="",$D49=""),"",IF(AND(AP$3&lt;=$D49,AP$3+6&gt;=$C49),IF(AND($D49&gt;=AP$3,$D49&lt;=AP$3+6),2,1),""))</f>
        <v>1</v>
      </c>
      <c r="AQ49" s="29" t="n">
        <f aca="false">IF(OR($C49="",$D49=""),"",IF(AND(AQ$3&lt;=$D49,AQ$3+6&gt;=$C49),IF(AND($D49&gt;=AQ$3,$D49&lt;=AQ$3+6),2,1),""))</f>
        <v>1</v>
      </c>
      <c r="AR49" s="29" t="n">
        <f aca="false">IF(OR($C49="",$D49=""),"",IF(AND(AR$3&lt;=$D49,AR$3+6&gt;=$C49),IF(AND($D49&gt;=AR$3,$D49&lt;=AR$3+6),2,1),""))</f>
        <v>2</v>
      </c>
      <c r="AS49" s="29" t="str">
        <f aca="false">IF(OR($C49="",$D49=""),"",IF(AND(AS$3&lt;=$D49,AS$3+6&gt;=$C49),IF(AND($D49&gt;=AS$3,$D49&lt;=AS$3+6),2,1),""))</f>
        <v/>
      </c>
      <c r="AT49" s="29" t="str">
        <f aca="false">IF(OR($C49="",$D49=""),"",IF(AND(AT$3&lt;=$D49,AT$3+6&gt;=$C49),IF(AND($D49&gt;=AT$3,$D49&lt;=AT$3+6),2,1),""))</f>
        <v/>
      </c>
      <c r="AU49" s="29" t="str">
        <f aca="false">IF(OR($C49="",$D49=""),"",IF(AND(AU$3&lt;=$D49,AU$3+6&gt;=$C49),IF(AND($D49&gt;=AU$3,$D49&lt;=AU$3+6),2,1),""))</f>
        <v/>
      </c>
      <c r="AV49" s="29" t="str">
        <f aca="false">IF(OR($C49="",$D49=""),"",IF(AND(AV$3&lt;=$D49,AV$3+6&gt;=$C49),IF(AND($D49&gt;=AV$3,$D49&lt;=AV$3+6),2,1),""))</f>
        <v/>
      </c>
      <c r="AW49" s="29" t="str">
        <f aca="false">IF(OR($C49="",$D49=""),"",IF(AND(AW$3&lt;=$D49,AW$3+6&gt;=$C49),IF(AND($D49&gt;=AW$3,$D49&lt;=AW$3+6),2,1),""))</f>
        <v/>
      </c>
      <c r="AX49" s="29" t="str">
        <f aca="false">IF(OR($C49="",$D49=""),"",IF(AND(AX$3&lt;=$D49,AX$3+6&gt;=$C49),IF(AND($D49&gt;=AX$3,$D49&lt;=AX$3+6),2,1),""))</f>
        <v/>
      </c>
      <c r="AY49" s="29" t="str">
        <f aca="false">IF(OR($C49="",$D49=""),"",IF(AND(AY$3&lt;=$D49,AY$3+6&gt;=$C49),IF(AND($D49&gt;=AY$3,$D49&lt;=AY$3+6),2,1),""))</f>
        <v/>
      </c>
      <c r="AZ49" s="29" t="str">
        <f aca="false">IF(OR($C49="",$D49=""),"",IF(AND(AZ$3&lt;=$D49,AZ$3+6&gt;=$C49),IF(AND($D49&gt;=AZ$3,$D49&lt;=AZ$3+6),2,1),""))</f>
        <v/>
      </c>
      <c r="BA49" s="29" t="str">
        <f aca="false">IF(OR($C49="",$D49=""),"",IF(AND(BA$3&lt;=$D49,BA$3+6&gt;=$C49),IF(AND($D49&gt;=BA$3,$D49&lt;=BA$3+6),2,1),""))</f>
        <v/>
      </c>
      <c r="BB49" s="29" t="str">
        <f aca="false">IF(OR($C49="",$D49=""),"",IF(AND(BB$3&lt;=$D49,BB$3+6&gt;=$C49),IF(AND($D49&gt;=BB$3,$D49&lt;=BB$3+6),2,1),""))</f>
        <v/>
      </c>
      <c r="BC49" s="29" t="str">
        <f aca="false">IF(OR($C49="",$D49=""),"",IF(AND(BC$3&lt;=$D49,BC$3+6&gt;=$C49),IF(AND($D49&gt;=BC$3,$D49&lt;=BC$3+6),2,1),""))</f>
        <v/>
      </c>
      <c r="BD49" s="29" t="str">
        <f aca="false">IF(OR($C49="",$D49=""),"",IF(AND(BD$3&lt;=$D49,BD$3+6&gt;=$C49),IF(AND($D49&gt;=BD$3,$D49&lt;=BD$3+6),2,1),""))</f>
        <v/>
      </c>
      <c r="BE49" s="29" t="str">
        <f aca="false">IF(OR($C49="",$D49=""),"",IF(AND(BE$3&lt;=$D49,BE$3+6&gt;=$C49),IF(AND($D49&gt;=BE$3,$D49&lt;=BE$3+6),2,1),""))</f>
        <v/>
      </c>
      <c r="BF49" s="29" t="str">
        <f aca="false">IF(OR($C49="",$D49=""),"",IF(AND(BF$3&lt;=$D49,BF$3+6&gt;=$C49),IF(AND($D49&gt;=BF$3,$D49&lt;=BF$3+6),2,1),""))</f>
        <v/>
      </c>
    </row>
    <row r="50" customFormat="false" ht="15" hidden="false" customHeight="true" outlineLevel="0" collapsed="false">
      <c r="A50" s="16" t="s">
        <v>343</v>
      </c>
      <c r="B50" s="27" t="str">
        <f aca="false">IFERROR(INDEX(Plan!$C$2:$C$400,MATCH($A50,Plan!$A$2:$A$400,0)),"")</f>
        <v>No production credentials for agents</v>
      </c>
      <c r="C50" s="28" t="n">
        <f aca="false">IFERROR(INDEX(Plan!$I$2:$I$400,MATCH($A50,Plan!$A$2:$A$400,0)),"")</f>
        <v>46328</v>
      </c>
      <c r="D50" s="28" t="n">
        <f aca="false">IFERROR(INDEX(Plan!$J$2:$J$400,MATCH($A50,Plan!$A$2:$A$400,0)),"")</f>
        <v>46353</v>
      </c>
      <c r="E50" s="29" t="str">
        <f aca="false">IF(OR($C50="",$D50=""),"",IF(AND(E$3&lt;=$D50,E$3+6&gt;=$C50),IF(AND($D50&gt;=E$3,$D50&lt;=E$3+6),2,1),""))</f>
        <v/>
      </c>
      <c r="F50" s="29" t="n">
        <f aca="false">IF(OR($C50="",$D50=""),"",IF(AND(F$3&lt;=$D50,F$3+6&gt;=$C50),IF(AND($D50&gt;=F$3,$D50&lt;=F$3+6),2,1),""))</f>
        <v>1</v>
      </c>
      <c r="G50" s="29" t="n">
        <f aca="false">IF(OR($C50="",$D50=""),"",IF(AND(G$3&lt;=$D50,G$3+6&gt;=$C50),IF(AND($D50&gt;=G$3,$D50&lt;=G$3+6),2,1),""))</f>
        <v>1</v>
      </c>
      <c r="H50" s="29" t="n">
        <f aca="false">IF(OR($C50="",$D50=""),"",IF(AND(H$3&lt;=$D50,H$3+6&gt;=$C50),IF(AND($D50&gt;=H$3,$D50&lt;=H$3+6),2,1),""))</f>
        <v>1</v>
      </c>
      <c r="I50" s="29" t="n">
        <f aca="false">IF(OR($C50="",$D50=""),"",IF(AND(I$3&lt;=$D50,I$3+6&gt;=$C50),IF(AND($D50&gt;=I$3,$D50&lt;=I$3+6),2,1),""))</f>
        <v>2</v>
      </c>
      <c r="J50" s="29" t="str">
        <f aca="false">IF(OR($C50="",$D50=""),"",IF(AND(J$3&lt;=$D50,J$3+6&gt;=$C50),IF(AND($D50&gt;=J$3,$D50&lt;=J$3+6),2,1),""))</f>
        <v/>
      </c>
      <c r="K50" s="29" t="str">
        <f aca="false">IF(OR($C50="",$D50=""),"",IF(AND(K$3&lt;=$D50,K$3+6&gt;=$C50),IF(AND($D50&gt;=K$3,$D50&lt;=K$3+6),2,1),""))</f>
        <v/>
      </c>
      <c r="L50" s="29" t="str">
        <f aca="false">IF(OR($C50="",$D50=""),"",IF(AND(L$3&lt;=$D50,L$3+6&gt;=$C50),IF(AND($D50&gt;=L$3,$D50&lt;=L$3+6),2,1),""))</f>
        <v/>
      </c>
      <c r="M50" s="29" t="str">
        <f aca="false">IF(OR($C50="",$D50=""),"",IF(AND(M$3&lt;=$D50,M$3+6&gt;=$C50),IF(AND($D50&gt;=M$3,$D50&lt;=M$3+6),2,1),""))</f>
        <v/>
      </c>
      <c r="N50" s="29" t="str">
        <f aca="false">IF(OR($C50="",$D50=""),"",IF(AND(N$3&lt;=$D50,N$3+6&gt;=$C50),IF(AND($D50&gt;=N$3,$D50&lt;=N$3+6),2,1),""))</f>
        <v/>
      </c>
      <c r="O50" s="29" t="str">
        <f aca="false">IF(OR($C50="",$D50=""),"",IF(AND(O$3&lt;=$D50,O$3+6&gt;=$C50),IF(AND($D50&gt;=O$3,$D50&lt;=O$3+6),2,1),""))</f>
        <v/>
      </c>
      <c r="P50" s="29" t="str">
        <f aca="false">IF(OR($C50="",$D50=""),"",IF(AND(P$3&lt;=$D50,P$3+6&gt;=$C50),IF(AND($D50&gt;=P$3,$D50&lt;=P$3+6),2,1),""))</f>
        <v/>
      </c>
      <c r="Q50" s="29" t="str">
        <f aca="false">IF(OR($C50="",$D50=""),"",IF(AND(Q$3&lt;=$D50,Q$3+6&gt;=$C50),IF(AND($D50&gt;=Q$3,$D50&lt;=Q$3+6),2,1),""))</f>
        <v/>
      </c>
      <c r="R50" s="29" t="str">
        <f aca="false">IF(OR($C50="",$D50=""),"",IF(AND(R$3&lt;=$D50,R$3+6&gt;=$C50),IF(AND($D50&gt;=R$3,$D50&lt;=R$3+6),2,1),""))</f>
        <v/>
      </c>
      <c r="S50" s="29" t="str">
        <f aca="false">IF(OR($C50="",$D50=""),"",IF(AND(S$3&lt;=$D50,S$3+6&gt;=$C50),IF(AND($D50&gt;=S$3,$D50&lt;=S$3+6),2,1),""))</f>
        <v/>
      </c>
      <c r="T50" s="29" t="str">
        <f aca="false">IF(OR($C50="",$D50=""),"",IF(AND(T$3&lt;=$D50,T$3+6&gt;=$C50),IF(AND($D50&gt;=T$3,$D50&lt;=T$3+6),2,1),""))</f>
        <v/>
      </c>
      <c r="U50" s="29" t="str">
        <f aca="false">IF(OR($C50="",$D50=""),"",IF(AND(U$3&lt;=$D50,U$3+6&gt;=$C50),IF(AND($D50&gt;=U$3,$D50&lt;=U$3+6),2,1),""))</f>
        <v/>
      </c>
      <c r="V50" s="29" t="str">
        <f aca="false">IF(OR($C50="",$D50=""),"",IF(AND(V$3&lt;=$D50,V$3+6&gt;=$C50),IF(AND($D50&gt;=V$3,$D50&lt;=V$3+6),2,1),""))</f>
        <v/>
      </c>
      <c r="W50" s="29" t="str">
        <f aca="false">IF(OR($C50="",$D50=""),"",IF(AND(W$3&lt;=$D50,W$3+6&gt;=$C50),IF(AND($D50&gt;=W$3,$D50&lt;=W$3+6),2,1),""))</f>
        <v/>
      </c>
      <c r="X50" s="29" t="str">
        <f aca="false">IF(OR($C50="",$D50=""),"",IF(AND(X$3&lt;=$D50,X$3+6&gt;=$C50),IF(AND($D50&gt;=X$3,$D50&lt;=X$3+6),2,1),""))</f>
        <v/>
      </c>
      <c r="Y50" s="29" t="str">
        <f aca="false">IF(OR($C50="",$D50=""),"",IF(AND(Y$3&lt;=$D50,Y$3+6&gt;=$C50),IF(AND($D50&gt;=Y$3,$D50&lt;=Y$3+6),2,1),""))</f>
        <v/>
      </c>
      <c r="Z50" s="29" t="str">
        <f aca="false">IF(OR($C50="",$D50=""),"",IF(AND(Z$3&lt;=$D50,Z$3+6&gt;=$C50),IF(AND($D50&gt;=Z$3,$D50&lt;=Z$3+6),2,1),""))</f>
        <v/>
      </c>
      <c r="AA50" s="29" t="str">
        <f aca="false">IF(OR($C50="",$D50=""),"",IF(AND(AA$3&lt;=$D50,AA$3+6&gt;=$C50),IF(AND($D50&gt;=AA$3,$D50&lt;=AA$3+6),2,1),""))</f>
        <v/>
      </c>
      <c r="AB50" s="29" t="str">
        <f aca="false">IF(OR($C50="",$D50=""),"",IF(AND(AB$3&lt;=$D50,AB$3+6&gt;=$C50),IF(AND($D50&gt;=AB$3,$D50&lt;=AB$3+6),2,1),""))</f>
        <v/>
      </c>
      <c r="AC50" s="29" t="str">
        <f aca="false">IF(OR($C50="",$D50=""),"",IF(AND(AC$3&lt;=$D50,AC$3+6&gt;=$C50),IF(AND($D50&gt;=AC$3,$D50&lt;=AC$3+6),2,1),""))</f>
        <v/>
      </c>
      <c r="AD50" s="29" t="str">
        <f aca="false">IF(OR($C50="",$D50=""),"",IF(AND(AD$3&lt;=$D50,AD$3+6&gt;=$C50),IF(AND($D50&gt;=AD$3,$D50&lt;=AD$3+6),2,1),""))</f>
        <v/>
      </c>
      <c r="AE50" s="29" t="str">
        <f aca="false">IF(OR($C50="",$D50=""),"",IF(AND(AE$3&lt;=$D50,AE$3+6&gt;=$C50),IF(AND($D50&gt;=AE$3,$D50&lt;=AE$3+6),2,1),""))</f>
        <v/>
      </c>
      <c r="AF50" s="29" t="str">
        <f aca="false">IF(OR($C50="",$D50=""),"",IF(AND(AF$3&lt;=$D50,AF$3+6&gt;=$C50),IF(AND($D50&gt;=AF$3,$D50&lt;=AF$3+6),2,1),""))</f>
        <v/>
      </c>
      <c r="AG50" s="29" t="str">
        <f aca="false">IF(OR($C50="",$D50=""),"",IF(AND(AG$3&lt;=$D50,AG$3+6&gt;=$C50),IF(AND($D50&gt;=AG$3,$D50&lt;=AG$3+6),2,1),""))</f>
        <v/>
      </c>
      <c r="AH50" s="29" t="str">
        <f aca="false">IF(OR($C50="",$D50=""),"",IF(AND(AH$3&lt;=$D50,AH$3+6&gt;=$C50),IF(AND($D50&gt;=AH$3,$D50&lt;=AH$3+6),2,1),""))</f>
        <v/>
      </c>
      <c r="AI50" s="29" t="str">
        <f aca="false">IF(OR($C50="",$D50=""),"",IF(AND(AI$3&lt;=$D50,AI$3+6&gt;=$C50),IF(AND($D50&gt;=AI$3,$D50&lt;=AI$3+6),2,1),""))</f>
        <v/>
      </c>
      <c r="AJ50" s="29" t="str">
        <f aca="false">IF(OR($C50="",$D50=""),"",IF(AND(AJ$3&lt;=$D50,AJ$3+6&gt;=$C50),IF(AND($D50&gt;=AJ$3,$D50&lt;=AJ$3+6),2,1),""))</f>
        <v/>
      </c>
      <c r="AK50" s="29" t="str">
        <f aca="false">IF(OR($C50="",$D50=""),"",IF(AND(AK$3&lt;=$D50,AK$3+6&gt;=$C50),IF(AND($D50&gt;=AK$3,$D50&lt;=AK$3+6),2,1),""))</f>
        <v/>
      </c>
      <c r="AL50" s="29" t="str">
        <f aca="false">IF(OR($C50="",$D50=""),"",IF(AND(AL$3&lt;=$D50,AL$3+6&gt;=$C50),IF(AND($D50&gt;=AL$3,$D50&lt;=AL$3+6),2,1),""))</f>
        <v/>
      </c>
      <c r="AM50" s="29" t="str">
        <f aca="false">IF(OR($C50="",$D50=""),"",IF(AND(AM$3&lt;=$D50,AM$3+6&gt;=$C50),IF(AND($D50&gt;=AM$3,$D50&lt;=AM$3+6),2,1),""))</f>
        <v/>
      </c>
      <c r="AN50" s="29" t="str">
        <f aca="false">IF(OR($C50="",$D50=""),"",IF(AND(AN$3&lt;=$D50,AN$3+6&gt;=$C50),IF(AND($D50&gt;=AN$3,$D50&lt;=AN$3+6),2,1),""))</f>
        <v/>
      </c>
      <c r="AO50" s="29" t="str">
        <f aca="false">IF(OR($C50="",$D50=""),"",IF(AND(AO$3&lt;=$D50,AO$3+6&gt;=$C50),IF(AND($D50&gt;=AO$3,$D50&lt;=AO$3+6),2,1),""))</f>
        <v/>
      </c>
      <c r="AP50" s="29" t="str">
        <f aca="false">IF(OR($C50="",$D50=""),"",IF(AND(AP$3&lt;=$D50,AP$3+6&gt;=$C50),IF(AND($D50&gt;=AP$3,$D50&lt;=AP$3+6),2,1),""))</f>
        <v/>
      </c>
      <c r="AQ50" s="29" t="str">
        <f aca="false">IF(OR($C50="",$D50=""),"",IF(AND(AQ$3&lt;=$D50,AQ$3+6&gt;=$C50),IF(AND($D50&gt;=AQ$3,$D50&lt;=AQ$3+6),2,1),""))</f>
        <v/>
      </c>
      <c r="AR50" s="29" t="str">
        <f aca="false">IF(OR($C50="",$D50=""),"",IF(AND(AR$3&lt;=$D50,AR$3+6&gt;=$C50),IF(AND($D50&gt;=AR$3,$D50&lt;=AR$3+6),2,1),""))</f>
        <v/>
      </c>
      <c r="AS50" s="29" t="str">
        <f aca="false">IF(OR($C50="",$D50=""),"",IF(AND(AS$3&lt;=$D50,AS$3+6&gt;=$C50),IF(AND($D50&gt;=AS$3,$D50&lt;=AS$3+6),2,1),""))</f>
        <v/>
      </c>
      <c r="AT50" s="29" t="str">
        <f aca="false">IF(OR($C50="",$D50=""),"",IF(AND(AT$3&lt;=$D50,AT$3+6&gt;=$C50),IF(AND($D50&gt;=AT$3,$D50&lt;=AT$3+6),2,1),""))</f>
        <v/>
      </c>
      <c r="AU50" s="29" t="str">
        <f aca="false">IF(OR($C50="",$D50=""),"",IF(AND(AU$3&lt;=$D50,AU$3+6&gt;=$C50),IF(AND($D50&gt;=AU$3,$D50&lt;=AU$3+6),2,1),""))</f>
        <v/>
      </c>
      <c r="AV50" s="29" t="str">
        <f aca="false">IF(OR($C50="",$D50=""),"",IF(AND(AV$3&lt;=$D50,AV$3+6&gt;=$C50),IF(AND($D50&gt;=AV$3,$D50&lt;=AV$3+6),2,1),""))</f>
        <v/>
      </c>
      <c r="AW50" s="29" t="str">
        <f aca="false">IF(OR($C50="",$D50=""),"",IF(AND(AW$3&lt;=$D50,AW$3+6&gt;=$C50),IF(AND($D50&gt;=AW$3,$D50&lt;=AW$3+6),2,1),""))</f>
        <v/>
      </c>
      <c r="AX50" s="29" t="str">
        <f aca="false">IF(OR($C50="",$D50=""),"",IF(AND(AX$3&lt;=$D50,AX$3+6&gt;=$C50),IF(AND($D50&gt;=AX$3,$D50&lt;=AX$3+6),2,1),""))</f>
        <v/>
      </c>
      <c r="AY50" s="29" t="str">
        <f aca="false">IF(OR($C50="",$D50=""),"",IF(AND(AY$3&lt;=$D50,AY$3+6&gt;=$C50),IF(AND($D50&gt;=AY$3,$D50&lt;=AY$3+6),2,1),""))</f>
        <v/>
      </c>
      <c r="AZ50" s="29" t="str">
        <f aca="false">IF(OR($C50="",$D50=""),"",IF(AND(AZ$3&lt;=$D50,AZ$3+6&gt;=$C50),IF(AND($D50&gt;=AZ$3,$D50&lt;=AZ$3+6),2,1),""))</f>
        <v/>
      </c>
      <c r="BA50" s="29" t="str">
        <f aca="false">IF(OR($C50="",$D50=""),"",IF(AND(BA$3&lt;=$D50,BA$3+6&gt;=$C50),IF(AND($D50&gt;=BA$3,$D50&lt;=BA$3+6),2,1),""))</f>
        <v/>
      </c>
      <c r="BB50" s="29" t="str">
        <f aca="false">IF(OR($C50="",$D50=""),"",IF(AND(BB$3&lt;=$D50,BB$3+6&gt;=$C50),IF(AND($D50&gt;=BB$3,$D50&lt;=BB$3+6),2,1),""))</f>
        <v/>
      </c>
      <c r="BC50" s="29" t="str">
        <f aca="false">IF(OR($C50="",$D50=""),"",IF(AND(BC$3&lt;=$D50,BC$3+6&gt;=$C50),IF(AND($D50&gt;=BC$3,$D50&lt;=BC$3+6),2,1),""))</f>
        <v/>
      </c>
      <c r="BD50" s="29" t="str">
        <f aca="false">IF(OR($C50="",$D50=""),"",IF(AND(BD$3&lt;=$D50,BD$3+6&gt;=$C50),IF(AND($D50&gt;=BD$3,$D50&lt;=BD$3+6),2,1),""))</f>
        <v/>
      </c>
      <c r="BE50" s="29" t="str">
        <f aca="false">IF(OR($C50="",$D50=""),"",IF(AND(BE$3&lt;=$D50,BE$3+6&gt;=$C50),IF(AND($D50&gt;=BE$3,$D50&lt;=BE$3+6),2,1),""))</f>
        <v/>
      </c>
      <c r="BF50" s="29" t="str">
        <f aca="false">IF(OR($C50="",$D50=""),"",IF(AND(BF$3&lt;=$D50,BF$3+6&gt;=$C50),IF(AND($D50&gt;=BF$3,$D50&lt;=BF$3+6),2,1),""))</f>
        <v/>
      </c>
    </row>
    <row r="51" customFormat="false" ht="15" hidden="false" customHeight="true" outlineLevel="0" collapsed="false">
      <c r="A51" s="16" t="s">
        <v>155</v>
      </c>
      <c r="B51" s="27" t="str">
        <f aca="false">IFERROR(INDEX(Plan!$C$2:$C$400,MATCH($A51,Plan!$A$2:$A$400,0)),"")</f>
        <v>Managed settings for all builders</v>
      </c>
      <c r="C51" s="28" t="n">
        <f aca="false">IFERROR(INDEX(Plan!$I$2:$I$400,MATCH($A51,Plan!$A$2:$A$400,0)),"")</f>
        <v>46335</v>
      </c>
      <c r="D51" s="28" t="n">
        <f aca="false">IFERROR(INDEX(Plan!$J$2:$J$400,MATCH($A51,Plan!$A$2:$A$400,0)),"")</f>
        <v>46353</v>
      </c>
      <c r="E51" s="29" t="str">
        <f aca="false">IF(OR($C51="",$D51=""),"",IF(AND(E$3&lt;=$D51,E$3+6&gt;=$C51),IF(AND($D51&gt;=E$3,$D51&lt;=E$3+6),2,1),""))</f>
        <v/>
      </c>
      <c r="F51" s="29" t="str">
        <f aca="false">IF(OR($C51="",$D51=""),"",IF(AND(F$3&lt;=$D51,F$3+6&gt;=$C51),IF(AND($D51&gt;=F$3,$D51&lt;=F$3+6),2,1),""))</f>
        <v/>
      </c>
      <c r="G51" s="29" t="n">
        <f aca="false">IF(OR($C51="",$D51=""),"",IF(AND(G$3&lt;=$D51,G$3+6&gt;=$C51),IF(AND($D51&gt;=G$3,$D51&lt;=G$3+6),2,1),""))</f>
        <v>1</v>
      </c>
      <c r="H51" s="29" t="n">
        <f aca="false">IF(OR($C51="",$D51=""),"",IF(AND(H$3&lt;=$D51,H$3+6&gt;=$C51),IF(AND($D51&gt;=H$3,$D51&lt;=H$3+6),2,1),""))</f>
        <v>1</v>
      </c>
      <c r="I51" s="29" t="n">
        <f aca="false">IF(OR($C51="",$D51=""),"",IF(AND(I$3&lt;=$D51,I$3+6&gt;=$C51),IF(AND($D51&gt;=I$3,$D51&lt;=I$3+6),2,1),""))</f>
        <v>2</v>
      </c>
      <c r="J51" s="29" t="str">
        <f aca="false">IF(OR($C51="",$D51=""),"",IF(AND(J$3&lt;=$D51,J$3+6&gt;=$C51),IF(AND($D51&gt;=J$3,$D51&lt;=J$3+6),2,1),""))</f>
        <v/>
      </c>
      <c r="K51" s="29" t="str">
        <f aca="false">IF(OR($C51="",$D51=""),"",IF(AND(K$3&lt;=$D51,K$3+6&gt;=$C51),IF(AND($D51&gt;=K$3,$D51&lt;=K$3+6),2,1),""))</f>
        <v/>
      </c>
      <c r="L51" s="29" t="str">
        <f aca="false">IF(OR($C51="",$D51=""),"",IF(AND(L$3&lt;=$D51,L$3+6&gt;=$C51),IF(AND($D51&gt;=L$3,$D51&lt;=L$3+6),2,1),""))</f>
        <v/>
      </c>
      <c r="M51" s="29" t="str">
        <f aca="false">IF(OR($C51="",$D51=""),"",IF(AND(M$3&lt;=$D51,M$3+6&gt;=$C51),IF(AND($D51&gt;=M$3,$D51&lt;=M$3+6),2,1),""))</f>
        <v/>
      </c>
      <c r="N51" s="29" t="str">
        <f aca="false">IF(OR($C51="",$D51=""),"",IF(AND(N$3&lt;=$D51,N$3+6&gt;=$C51),IF(AND($D51&gt;=N$3,$D51&lt;=N$3+6),2,1),""))</f>
        <v/>
      </c>
      <c r="O51" s="29" t="str">
        <f aca="false">IF(OR($C51="",$D51=""),"",IF(AND(O$3&lt;=$D51,O$3+6&gt;=$C51),IF(AND($D51&gt;=O$3,$D51&lt;=O$3+6),2,1),""))</f>
        <v/>
      </c>
      <c r="P51" s="29" t="str">
        <f aca="false">IF(OR($C51="",$D51=""),"",IF(AND(P$3&lt;=$D51,P$3+6&gt;=$C51),IF(AND($D51&gt;=P$3,$D51&lt;=P$3+6),2,1),""))</f>
        <v/>
      </c>
      <c r="Q51" s="29" t="str">
        <f aca="false">IF(OR($C51="",$D51=""),"",IF(AND(Q$3&lt;=$D51,Q$3+6&gt;=$C51),IF(AND($D51&gt;=Q$3,$D51&lt;=Q$3+6),2,1),""))</f>
        <v/>
      </c>
      <c r="R51" s="29" t="str">
        <f aca="false">IF(OR($C51="",$D51=""),"",IF(AND(R$3&lt;=$D51,R$3+6&gt;=$C51),IF(AND($D51&gt;=R$3,$D51&lt;=R$3+6),2,1),""))</f>
        <v/>
      </c>
      <c r="S51" s="29" t="str">
        <f aca="false">IF(OR($C51="",$D51=""),"",IF(AND(S$3&lt;=$D51,S$3+6&gt;=$C51),IF(AND($D51&gt;=S$3,$D51&lt;=S$3+6),2,1),""))</f>
        <v/>
      </c>
      <c r="T51" s="29" t="str">
        <f aca="false">IF(OR($C51="",$D51=""),"",IF(AND(T$3&lt;=$D51,T$3+6&gt;=$C51),IF(AND($D51&gt;=T$3,$D51&lt;=T$3+6),2,1),""))</f>
        <v/>
      </c>
      <c r="U51" s="29" t="str">
        <f aca="false">IF(OR($C51="",$D51=""),"",IF(AND(U$3&lt;=$D51,U$3+6&gt;=$C51),IF(AND($D51&gt;=U$3,$D51&lt;=U$3+6),2,1),""))</f>
        <v/>
      </c>
      <c r="V51" s="29" t="str">
        <f aca="false">IF(OR($C51="",$D51=""),"",IF(AND(V$3&lt;=$D51,V$3+6&gt;=$C51),IF(AND($D51&gt;=V$3,$D51&lt;=V$3+6),2,1),""))</f>
        <v/>
      </c>
      <c r="W51" s="29" t="str">
        <f aca="false">IF(OR($C51="",$D51=""),"",IF(AND(W$3&lt;=$D51,W$3+6&gt;=$C51),IF(AND($D51&gt;=W$3,$D51&lt;=W$3+6),2,1),""))</f>
        <v/>
      </c>
      <c r="X51" s="29" t="str">
        <f aca="false">IF(OR($C51="",$D51=""),"",IF(AND(X$3&lt;=$D51,X$3+6&gt;=$C51),IF(AND($D51&gt;=X$3,$D51&lt;=X$3+6),2,1),""))</f>
        <v/>
      </c>
      <c r="Y51" s="29" t="str">
        <f aca="false">IF(OR($C51="",$D51=""),"",IF(AND(Y$3&lt;=$D51,Y$3+6&gt;=$C51),IF(AND($D51&gt;=Y$3,$D51&lt;=Y$3+6),2,1),""))</f>
        <v/>
      </c>
      <c r="Z51" s="29" t="str">
        <f aca="false">IF(OR($C51="",$D51=""),"",IF(AND(Z$3&lt;=$D51,Z$3+6&gt;=$C51),IF(AND($D51&gt;=Z$3,$D51&lt;=Z$3+6),2,1),""))</f>
        <v/>
      </c>
      <c r="AA51" s="29" t="str">
        <f aca="false">IF(OR($C51="",$D51=""),"",IF(AND(AA$3&lt;=$D51,AA$3+6&gt;=$C51),IF(AND($D51&gt;=AA$3,$D51&lt;=AA$3+6),2,1),""))</f>
        <v/>
      </c>
      <c r="AB51" s="29" t="str">
        <f aca="false">IF(OR($C51="",$D51=""),"",IF(AND(AB$3&lt;=$D51,AB$3+6&gt;=$C51),IF(AND($D51&gt;=AB$3,$D51&lt;=AB$3+6),2,1),""))</f>
        <v/>
      </c>
      <c r="AC51" s="29" t="str">
        <f aca="false">IF(OR($C51="",$D51=""),"",IF(AND(AC$3&lt;=$D51,AC$3+6&gt;=$C51),IF(AND($D51&gt;=AC$3,$D51&lt;=AC$3+6),2,1),""))</f>
        <v/>
      </c>
      <c r="AD51" s="29" t="str">
        <f aca="false">IF(OR($C51="",$D51=""),"",IF(AND(AD$3&lt;=$D51,AD$3+6&gt;=$C51),IF(AND($D51&gt;=AD$3,$D51&lt;=AD$3+6),2,1),""))</f>
        <v/>
      </c>
      <c r="AE51" s="29" t="str">
        <f aca="false">IF(OR($C51="",$D51=""),"",IF(AND(AE$3&lt;=$D51,AE$3+6&gt;=$C51),IF(AND($D51&gt;=AE$3,$D51&lt;=AE$3+6),2,1),""))</f>
        <v/>
      </c>
      <c r="AF51" s="29" t="str">
        <f aca="false">IF(OR($C51="",$D51=""),"",IF(AND(AF$3&lt;=$D51,AF$3+6&gt;=$C51),IF(AND($D51&gt;=AF$3,$D51&lt;=AF$3+6),2,1),""))</f>
        <v/>
      </c>
      <c r="AG51" s="29" t="str">
        <f aca="false">IF(OR($C51="",$D51=""),"",IF(AND(AG$3&lt;=$D51,AG$3+6&gt;=$C51),IF(AND($D51&gt;=AG$3,$D51&lt;=AG$3+6),2,1),""))</f>
        <v/>
      </c>
      <c r="AH51" s="29" t="str">
        <f aca="false">IF(OR($C51="",$D51=""),"",IF(AND(AH$3&lt;=$D51,AH$3+6&gt;=$C51),IF(AND($D51&gt;=AH$3,$D51&lt;=AH$3+6),2,1),""))</f>
        <v/>
      </c>
      <c r="AI51" s="29" t="str">
        <f aca="false">IF(OR($C51="",$D51=""),"",IF(AND(AI$3&lt;=$D51,AI$3+6&gt;=$C51),IF(AND($D51&gt;=AI$3,$D51&lt;=AI$3+6),2,1),""))</f>
        <v/>
      </c>
      <c r="AJ51" s="29" t="str">
        <f aca="false">IF(OR($C51="",$D51=""),"",IF(AND(AJ$3&lt;=$D51,AJ$3+6&gt;=$C51),IF(AND($D51&gt;=AJ$3,$D51&lt;=AJ$3+6),2,1),""))</f>
        <v/>
      </c>
      <c r="AK51" s="29" t="str">
        <f aca="false">IF(OR($C51="",$D51=""),"",IF(AND(AK$3&lt;=$D51,AK$3+6&gt;=$C51),IF(AND($D51&gt;=AK$3,$D51&lt;=AK$3+6),2,1),""))</f>
        <v/>
      </c>
      <c r="AL51" s="29" t="str">
        <f aca="false">IF(OR($C51="",$D51=""),"",IF(AND(AL$3&lt;=$D51,AL$3+6&gt;=$C51),IF(AND($D51&gt;=AL$3,$D51&lt;=AL$3+6),2,1),""))</f>
        <v/>
      </c>
      <c r="AM51" s="29" t="str">
        <f aca="false">IF(OR($C51="",$D51=""),"",IF(AND(AM$3&lt;=$D51,AM$3+6&gt;=$C51),IF(AND($D51&gt;=AM$3,$D51&lt;=AM$3+6),2,1),""))</f>
        <v/>
      </c>
      <c r="AN51" s="29" t="str">
        <f aca="false">IF(OR($C51="",$D51=""),"",IF(AND(AN$3&lt;=$D51,AN$3+6&gt;=$C51),IF(AND($D51&gt;=AN$3,$D51&lt;=AN$3+6),2,1),""))</f>
        <v/>
      </c>
      <c r="AO51" s="29" t="str">
        <f aca="false">IF(OR($C51="",$D51=""),"",IF(AND(AO$3&lt;=$D51,AO$3+6&gt;=$C51),IF(AND($D51&gt;=AO$3,$D51&lt;=AO$3+6),2,1),""))</f>
        <v/>
      </c>
      <c r="AP51" s="29" t="str">
        <f aca="false">IF(OR($C51="",$D51=""),"",IF(AND(AP$3&lt;=$D51,AP$3+6&gt;=$C51),IF(AND($D51&gt;=AP$3,$D51&lt;=AP$3+6),2,1),""))</f>
        <v/>
      </c>
      <c r="AQ51" s="29" t="str">
        <f aca="false">IF(OR($C51="",$D51=""),"",IF(AND(AQ$3&lt;=$D51,AQ$3+6&gt;=$C51),IF(AND($D51&gt;=AQ$3,$D51&lt;=AQ$3+6),2,1),""))</f>
        <v/>
      </c>
      <c r="AR51" s="29" t="str">
        <f aca="false">IF(OR($C51="",$D51=""),"",IF(AND(AR$3&lt;=$D51,AR$3+6&gt;=$C51),IF(AND($D51&gt;=AR$3,$D51&lt;=AR$3+6),2,1),""))</f>
        <v/>
      </c>
      <c r="AS51" s="29" t="str">
        <f aca="false">IF(OR($C51="",$D51=""),"",IF(AND(AS$3&lt;=$D51,AS$3+6&gt;=$C51),IF(AND($D51&gt;=AS$3,$D51&lt;=AS$3+6),2,1),""))</f>
        <v/>
      </c>
      <c r="AT51" s="29" t="str">
        <f aca="false">IF(OR($C51="",$D51=""),"",IF(AND(AT$3&lt;=$D51,AT$3+6&gt;=$C51),IF(AND($D51&gt;=AT$3,$D51&lt;=AT$3+6),2,1),""))</f>
        <v/>
      </c>
      <c r="AU51" s="29" t="str">
        <f aca="false">IF(OR($C51="",$D51=""),"",IF(AND(AU$3&lt;=$D51,AU$3+6&gt;=$C51),IF(AND($D51&gt;=AU$3,$D51&lt;=AU$3+6),2,1),""))</f>
        <v/>
      </c>
      <c r="AV51" s="29" t="str">
        <f aca="false">IF(OR($C51="",$D51=""),"",IF(AND(AV$3&lt;=$D51,AV$3+6&gt;=$C51),IF(AND($D51&gt;=AV$3,$D51&lt;=AV$3+6),2,1),""))</f>
        <v/>
      </c>
      <c r="AW51" s="29" t="str">
        <f aca="false">IF(OR($C51="",$D51=""),"",IF(AND(AW$3&lt;=$D51,AW$3+6&gt;=$C51),IF(AND($D51&gt;=AW$3,$D51&lt;=AW$3+6),2,1),""))</f>
        <v/>
      </c>
      <c r="AX51" s="29" t="str">
        <f aca="false">IF(OR($C51="",$D51=""),"",IF(AND(AX$3&lt;=$D51,AX$3+6&gt;=$C51),IF(AND($D51&gt;=AX$3,$D51&lt;=AX$3+6),2,1),""))</f>
        <v/>
      </c>
      <c r="AY51" s="29" t="str">
        <f aca="false">IF(OR($C51="",$D51=""),"",IF(AND(AY$3&lt;=$D51,AY$3+6&gt;=$C51),IF(AND($D51&gt;=AY$3,$D51&lt;=AY$3+6),2,1),""))</f>
        <v/>
      </c>
      <c r="AZ51" s="29" t="str">
        <f aca="false">IF(OR($C51="",$D51=""),"",IF(AND(AZ$3&lt;=$D51,AZ$3+6&gt;=$C51),IF(AND($D51&gt;=AZ$3,$D51&lt;=AZ$3+6),2,1),""))</f>
        <v/>
      </c>
      <c r="BA51" s="29" t="str">
        <f aca="false">IF(OR($C51="",$D51=""),"",IF(AND(BA$3&lt;=$D51,BA$3+6&gt;=$C51),IF(AND($D51&gt;=BA$3,$D51&lt;=BA$3+6),2,1),""))</f>
        <v/>
      </c>
      <c r="BB51" s="29" t="str">
        <f aca="false">IF(OR($C51="",$D51=""),"",IF(AND(BB$3&lt;=$D51,BB$3+6&gt;=$C51),IF(AND($D51&gt;=BB$3,$D51&lt;=BB$3+6),2,1),""))</f>
        <v/>
      </c>
      <c r="BC51" s="29" t="str">
        <f aca="false">IF(OR($C51="",$D51=""),"",IF(AND(BC$3&lt;=$D51,BC$3+6&gt;=$C51),IF(AND($D51&gt;=BC$3,$D51&lt;=BC$3+6),2,1),""))</f>
        <v/>
      </c>
      <c r="BD51" s="29" t="str">
        <f aca="false">IF(OR($C51="",$D51=""),"",IF(AND(BD$3&lt;=$D51,BD$3+6&gt;=$C51),IF(AND($D51&gt;=BD$3,$D51&lt;=BD$3+6),2,1),""))</f>
        <v/>
      </c>
      <c r="BE51" s="29" t="str">
        <f aca="false">IF(OR($C51="",$D51=""),"",IF(AND(BE$3&lt;=$D51,BE$3+6&gt;=$C51),IF(AND($D51&gt;=BE$3,$D51&lt;=BE$3+6),2,1),""))</f>
        <v/>
      </c>
      <c r="BF51" s="29" t="str">
        <f aca="false">IF(OR($C51="",$D51=""),"",IF(AND(BF$3&lt;=$D51,BF$3+6&gt;=$C51),IF(AND($D51&gt;=BF$3,$D51&lt;=BF$3+6),2,1),""))</f>
        <v/>
      </c>
    </row>
    <row r="52" customFormat="false" ht="15" hidden="false" customHeight="true" outlineLevel="0" collapsed="false">
      <c r="A52" s="16" t="s">
        <v>354</v>
      </c>
      <c r="B52" s="27" t="str">
        <f aca="false">IFERROR(INDEX(Plan!$C$2:$C$400,MATCH($A52,Plan!$A$2:$A$400,0)),"")</f>
        <v>Monthly failure review</v>
      </c>
      <c r="C52" s="28" t="n">
        <f aca="false">IFERROR(INDEX(Plan!$I$2:$I$400,MATCH($A52,Plan!$A$2:$A$400,0)),"")</f>
        <v>46360</v>
      </c>
      <c r="D52" s="28" t="n">
        <f aca="false">IFERROR(INDEX(Plan!$J$2:$J$400,MATCH($A52,Plan!$A$2:$A$400,0)),"")</f>
        <v>46689</v>
      </c>
      <c r="E52" s="29" t="str">
        <f aca="false">IF(OR($C52="",$D52=""),"",IF(AND(E$3&lt;=$D52,E$3+6&gt;=$C52),IF(AND($D52&gt;=E$3,$D52&lt;=E$3+6),2,1),""))</f>
        <v/>
      </c>
      <c r="F52" s="29" t="str">
        <f aca="false">IF(OR($C52="",$D52=""),"",IF(AND(F$3&lt;=$D52,F$3+6&gt;=$C52),IF(AND($D52&gt;=F$3,$D52&lt;=F$3+6),2,1),""))</f>
        <v/>
      </c>
      <c r="G52" s="29" t="str">
        <f aca="false">IF(OR($C52="",$D52=""),"",IF(AND(G$3&lt;=$D52,G$3+6&gt;=$C52),IF(AND($D52&gt;=G$3,$D52&lt;=G$3+6),2,1),""))</f>
        <v/>
      </c>
      <c r="H52" s="29" t="str">
        <f aca="false">IF(OR($C52="",$D52=""),"",IF(AND(H$3&lt;=$D52,H$3+6&gt;=$C52),IF(AND($D52&gt;=H$3,$D52&lt;=H$3+6),2,1),""))</f>
        <v/>
      </c>
      <c r="I52" s="29" t="str">
        <f aca="false">IF(OR($C52="",$D52=""),"",IF(AND(I$3&lt;=$D52,I$3+6&gt;=$C52),IF(AND($D52&gt;=I$3,$D52&lt;=I$3+6),2,1),""))</f>
        <v/>
      </c>
      <c r="J52" s="29" t="n">
        <f aca="false">IF(OR($C52="",$D52=""),"",IF(AND(J$3&lt;=$D52,J$3+6&gt;=$C52),IF(AND($D52&gt;=J$3,$D52&lt;=J$3+6),2,1),""))</f>
        <v>1</v>
      </c>
      <c r="K52" s="29" t="n">
        <f aca="false">IF(OR($C52="",$D52=""),"",IF(AND(K$3&lt;=$D52,K$3+6&gt;=$C52),IF(AND($D52&gt;=K$3,$D52&lt;=K$3+6),2,1),""))</f>
        <v>1</v>
      </c>
      <c r="L52" s="29" t="n">
        <f aca="false">IF(OR($C52="",$D52=""),"",IF(AND(L$3&lt;=$D52,L$3+6&gt;=$C52),IF(AND($D52&gt;=L$3,$D52&lt;=L$3+6),2,1),""))</f>
        <v>1</v>
      </c>
      <c r="M52" s="29" t="n">
        <f aca="false">IF(OR($C52="",$D52=""),"",IF(AND(M$3&lt;=$D52,M$3+6&gt;=$C52),IF(AND($D52&gt;=M$3,$D52&lt;=M$3+6),2,1),""))</f>
        <v>1</v>
      </c>
      <c r="N52" s="29" t="n">
        <f aca="false">IF(OR($C52="",$D52=""),"",IF(AND(N$3&lt;=$D52,N$3+6&gt;=$C52),IF(AND($D52&gt;=N$3,$D52&lt;=N$3+6),2,1),""))</f>
        <v>1</v>
      </c>
      <c r="O52" s="29" t="n">
        <f aca="false">IF(OR($C52="",$D52=""),"",IF(AND(O$3&lt;=$D52,O$3+6&gt;=$C52),IF(AND($D52&gt;=O$3,$D52&lt;=O$3+6),2,1),""))</f>
        <v>1</v>
      </c>
      <c r="P52" s="29" t="n">
        <f aca="false">IF(OR($C52="",$D52=""),"",IF(AND(P$3&lt;=$D52,P$3+6&gt;=$C52),IF(AND($D52&gt;=P$3,$D52&lt;=P$3+6),2,1),""))</f>
        <v>1</v>
      </c>
      <c r="Q52" s="29" t="n">
        <f aca="false">IF(OR($C52="",$D52=""),"",IF(AND(Q$3&lt;=$D52,Q$3+6&gt;=$C52),IF(AND($D52&gt;=Q$3,$D52&lt;=Q$3+6),2,1),""))</f>
        <v>1</v>
      </c>
      <c r="R52" s="29" t="n">
        <f aca="false">IF(OR($C52="",$D52=""),"",IF(AND(R$3&lt;=$D52,R$3+6&gt;=$C52),IF(AND($D52&gt;=R$3,$D52&lt;=R$3+6),2,1),""))</f>
        <v>1</v>
      </c>
      <c r="S52" s="29" t="n">
        <f aca="false">IF(OR($C52="",$D52=""),"",IF(AND(S$3&lt;=$D52,S$3+6&gt;=$C52),IF(AND($D52&gt;=S$3,$D52&lt;=S$3+6),2,1),""))</f>
        <v>1</v>
      </c>
      <c r="T52" s="29" t="n">
        <f aca="false">IF(OR($C52="",$D52=""),"",IF(AND(T$3&lt;=$D52,T$3+6&gt;=$C52),IF(AND($D52&gt;=T$3,$D52&lt;=T$3+6),2,1),""))</f>
        <v>1</v>
      </c>
      <c r="U52" s="29" t="n">
        <f aca="false">IF(OR($C52="",$D52=""),"",IF(AND(U$3&lt;=$D52,U$3+6&gt;=$C52),IF(AND($D52&gt;=U$3,$D52&lt;=U$3+6),2,1),""))</f>
        <v>1</v>
      </c>
      <c r="V52" s="29" t="n">
        <f aca="false">IF(OR($C52="",$D52=""),"",IF(AND(V$3&lt;=$D52,V$3+6&gt;=$C52),IF(AND($D52&gt;=V$3,$D52&lt;=V$3+6),2,1),""))</f>
        <v>1</v>
      </c>
      <c r="W52" s="29" t="n">
        <f aca="false">IF(OR($C52="",$D52=""),"",IF(AND(W$3&lt;=$D52,W$3+6&gt;=$C52),IF(AND($D52&gt;=W$3,$D52&lt;=W$3+6),2,1),""))</f>
        <v>1</v>
      </c>
      <c r="X52" s="29" t="n">
        <f aca="false">IF(OR($C52="",$D52=""),"",IF(AND(X$3&lt;=$D52,X$3+6&gt;=$C52),IF(AND($D52&gt;=X$3,$D52&lt;=X$3+6),2,1),""))</f>
        <v>1</v>
      </c>
      <c r="Y52" s="29" t="n">
        <f aca="false">IF(OR($C52="",$D52=""),"",IF(AND(Y$3&lt;=$D52,Y$3+6&gt;=$C52),IF(AND($D52&gt;=Y$3,$D52&lt;=Y$3+6),2,1),""))</f>
        <v>1</v>
      </c>
      <c r="Z52" s="29" t="n">
        <f aca="false">IF(OR($C52="",$D52=""),"",IF(AND(Z$3&lt;=$D52,Z$3+6&gt;=$C52),IF(AND($D52&gt;=Z$3,$D52&lt;=Z$3+6),2,1),""))</f>
        <v>1</v>
      </c>
      <c r="AA52" s="29" t="n">
        <f aca="false">IF(OR($C52="",$D52=""),"",IF(AND(AA$3&lt;=$D52,AA$3+6&gt;=$C52),IF(AND($D52&gt;=AA$3,$D52&lt;=AA$3+6),2,1),""))</f>
        <v>1</v>
      </c>
      <c r="AB52" s="29" t="n">
        <f aca="false">IF(OR($C52="",$D52=""),"",IF(AND(AB$3&lt;=$D52,AB$3+6&gt;=$C52),IF(AND($D52&gt;=AB$3,$D52&lt;=AB$3+6),2,1),""))</f>
        <v>1</v>
      </c>
      <c r="AC52" s="29" t="n">
        <f aca="false">IF(OR($C52="",$D52=""),"",IF(AND(AC$3&lt;=$D52,AC$3+6&gt;=$C52),IF(AND($D52&gt;=AC$3,$D52&lt;=AC$3+6),2,1),""))</f>
        <v>1</v>
      </c>
      <c r="AD52" s="29" t="n">
        <f aca="false">IF(OR($C52="",$D52=""),"",IF(AND(AD$3&lt;=$D52,AD$3+6&gt;=$C52),IF(AND($D52&gt;=AD$3,$D52&lt;=AD$3+6),2,1),""))</f>
        <v>1</v>
      </c>
      <c r="AE52" s="29" t="n">
        <f aca="false">IF(OR($C52="",$D52=""),"",IF(AND(AE$3&lt;=$D52,AE$3+6&gt;=$C52),IF(AND($D52&gt;=AE$3,$D52&lt;=AE$3+6),2,1),""))</f>
        <v>1</v>
      </c>
      <c r="AF52" s="29" t="n">
        <f aca="false">IF(OR($C52="",$D52=""),"",IF(AND(AF$3&lt;=$D52,AF$3+6&gt;=$C52),IF(AND($D52&gt;=AF$3,$D52&lt;=AF$3+6),2,1),""))</f>
        <v>1</v>
      </c>
      <c r="AG52" s="29" t="n">
        <f aca="false">IF(OR($C52="",$D52=""),"",IF(AND(AG$3&lt;=$D52,AG$3+6&gt;=$C52),IF(AND($D52&gt;=AG$3,$D52&lt;=AG$3+6),2,1),""))</f>
        <v>1</v>
      </c>
      <c r="AH52" s="29" t="n">
        <f aca="false">IF(OR($C52="",$D52=""),"",IF(AND(AH$3&lt;=$D52,AH$3+6&gt;=$C52),IF(AND($D52&gt;=AH$3,$D52&lt;=AH$3+6),2,1),""))</f>
        <v>1</v>
      </c>
      <c r="AI52" s="29" t="n">
        <f aca="false">IF(OR($C52="",$D52=""),"",IF(AND(AI$3&lt;=$D52,AI$3+6&gt;=$C52),IF(AND($D52&gt;=AI$3,$D52&lt;=AI$3+6),2,1),""))</f>
        <v>1</v>
      </c>
      <c r="AJ52" s="29" t="n">
        <f aca="false">IF(OR($C52="",$D52=""),"",IF(AND(AJ$3&lt;=$D52,AJ$3+6&gt;=$C52),IF(AND($D52&gt;=AJ$3,$D52&lt;=AJ$3+6),2,1),""))</f>
        <v>1</v>
      </c>
      <c r="AK52" s="29" t="n">
        <f aca="false">IF(OR($C52="",$D52=""),"",IF(AND(AK$3&lt;=$D52,AK$3+6&gt;=$C52),IF(AND($D52&gt;=AK$3,$D52&lt;=AK$3+6),2,1),""))</f>
        <v>1</v>
      </c>
      <c r="AL52" s="29" t="n">
        <f aca="false">IF(OR($C52="",$D52=""),"",IF(AND(AL$3&lt;=$D52,AL$3+6&gt;=$C52),IF(AND($D52&gt;=AL$3,$D52&lt;=AL$3+6),2,1),""))</f>
        <v>1</v>
      </c>
      <c r="AM52" s="29" t="n">
        <f aca="false">IF(OR($C52="",$D52=""),"",IF(AND(AM$3&lt;=$D52,AM$3+6&gt;=$C52),IF(AND($D52&gt;=AM$3,$D52&lt;=AM$3+6),2,1),""))</f>
        <v>1</v>
      </c>
      <c r="AN52" s="29" t="n">
        <f aca="false">IF(OR($C52="",$D52=""),"",IF(AND(AN$3&lt;=$D52,AN$3+6&gt;=$C52),IF(AND($D52&gt;=AN$3,$D52&lt;=AN$3+6),2,1),""))</f>
        <v>1</v>
      </c>
      <c r="AO52" s="29" t="n">
        <f aca="false">IF(OR($C52="",$D52=""),"",IF(AND(AO$3&lt;=$D52,AO$3+6&gt;=$C52),IF(AND($D52&gt;=AO$3,$D52&lt;=AO$3+6),2,1),""))</f>
        <v>1</v>
      </c>
      <c r="AP52" s="29" t="n">
        <f aca="false">IF(OR($C52="",$D52=""),"",IF(AND(AP$3&lt;=$D52,AP$3+6&gt;=$C52),IF(AND($D52&gt;=AP$3,$D52&lt;=AP$3+6),2,1),""))</f>
        <v>1</v>
      </c>
      <c r="AQ52" s="29" t="n">
        <f aca="false">IF(OR($C52="",$D52=""),"",IF(AND(AQ$3&lt;=$D52,AQ$3+6&gt;=$C52),IF(AND($D52&gt;=AQ$3,$D52&lt;=AQ$3+6),2,1),""))</f>
        <v>1</v>
      </c>
      <c r="AR52" s="29" t="n">
        <f aca="false">IF(OR($C52="",$D52=""),"",IF(AND(AR$3&lt;=$D52,AR$3+6&gt;=$C52),IF(AND($D52&gt;=AR$3,$D52&lt;=AR$3+6),2,1),""))</f>
        <v>1</v>
      </c>
      <c r="AS52" s="29" t="n">
        <f aca="false">IF(OR($C52="",$D52=""),"",IF(AND(AS$3&lt;=$D52,AS$3+6&gt;=$C52),IF(AND($D52&gt;=AS$3,$D52&lt;=AS$3+6),2,1),""))</f>
        <v>1</v>
      </c>
      <c r="AT52" s="29" t="n">
        <f aca="false">IF(OR($C52="",$D52=""),"",IF(AND(AT$3&lt;=$D52,AT$3+6&gt;=$C52),IF(AND($D52&gt;=AT$3,$D52&lt;=AT$3+6),2,1),""))</f>
        <v>1</v>
      </c>
      <c r="AU52" s="29" t="n">
        <f aca="false">IF(OR($C52="",$D52=""),"",IF(AND(AU$3&lt;=$D52,AU$3+6&gt;=$C52),IF(AND($D52&gt;=AU$3,$D52&lt;=AU$3+6),2,1),""))</f>
        <v>1</v>
      </c>
      <c r="AV52" s="29" t="n">
        <f aca="false">IF(OR($C52="",$D52=""),"",IF(AND(AV$3&lt;=$D52,AV$3+6&gt;=$C52),IF(AND($D52&gt;=AV$3,$D52&lt;=AV$3+6),2,1),""))</f>
        <v>1</v>
      </c>
      <c r="AW52" s="29" t="n">
        <f aca="false">IF(OR($C52="",$D52=""),"",IF(AND(AW$3&lt;=$D52,AW$3+6&gt;=$C52),IF(AND($D52&gt;=AW$3,$D52&lt;=AW$3+6),2,1),""))</f>
        <v>1</v>
      </c>
      <c r="AX52" s="29" t="n">
        <f aca="false">IF(OR($C52="",$D52=""),"",IF(AND(AX$3&lt;=$D52,AX$3+6&gt;=$C52),IF(AND($D52&gt;=AX$3,$D52&lt;=AX$3+6),2,1),""))</f>
        <v>1</v>
      </c>
      <c r="AY52" s="29" t="n">
        <f aca="false">IF(OR($C52="",$D52=""),"",IF(AND(AY$3&lt;=$D52,AY$3+6&gt;=$C52),IF(AND($D52&gt;=AY$3,$D52&lt;=AY$3+6),2,1),""))</f>
        <v>1</v>
      </c>
      <c r="AZ52" s="29" t="n">
        <f aca="false">IF(OR($C52="",$D52=""),"",IF(AND(AZ$3&lt;=$D52,AZ$3+6&gt;=$C52),IF(AND($D52&gt;=AZ$3,$D52&lt;=AZ$3+6),2,1),""))</f>
        <v>1</v>
      </c>
      <c r="BA52" s="29" t="n">
        <f aca="false">IF(OR($C52="",$D52=""),"",IF(AND(BA$3&lt;=$D52,BA$3+6&gt;=$C52),IF(AND($D52&gt;=BA$3,$D52&lt;=BA$3+6),2,1),""))</f>
        <v>1</v>
      </c>
      <c r="BB52" s="29" t="n">
        <f aca="false">IF(OR($C52="",$D52=""),"",IF(AND(BB$3&lt;=$D52,BB$3+6&gt;=$C52),IF(AND($D52&gt;=BB$3,$D52&lt;=BB$3+6),2,1),""))</f>
        <v>1</v>
      </c>
      <c r="BC52" s="29" t="n">
        <f aca="false">IF(OR($C52="",$D52=""),"",IF(AND(BC$3&lt;=$D52,BC$3+6&gt;=$C52),IF(AND($D52&gt;=BC$3,$D52&lt;=BC$3+6),2,1),""))</f>
        <v>1</v>
      </c>
      <c r="BD52" s="29" t="n">
        <f aca="false">IF(OR($C52="",$D52=""),"",IF(AND(BD$3&lt;=$D52,BD$3+6&gt;=$C52),IF(AND($D52&gt;=BD$3,$D52&lt;=BD$3+6),2,1),""))</f>
        <v>1</v>
      </c>
      <c r="BE52" s="29" t="n">
        <f aca="false">IF(OR($C52="",$D52=""),"",IF(AND(BE$3&lt;=$D52,BE$3+6&gt;=$C52),IF(AND($D52&gt;=BE$3,$D52&lt;=BE$3+6),2,1),""))</f>
        <v>2</v>
      </c>
      <c r="BF52" s="29" t="str">
        <f aca="false">IF(OR($C52="",$D52=""),"",IF(AND(BF$3&lt;=$D52,BF$3+6&gt;=$C52),IF(AND($D52&gt;=BF$3,$D52&lt;=BF$3+6),2,1),""))</f>
        <v/>
      </c>
    </row>
    <row r="53" customFormat="false" ht="15" hidden="false" customHeight="true" outlineLevel="0" collapsed="false">
      <c r="A53" s="16" t="s">
        <v>360</v>
      </c>
      <c r="B53" s="27" t="str">
        <f aca="false">IFERROR(INDEX(Plan!$C$2:$C$400,MATCH($A53,Plan!$A$2:$A$400,0)),"")</f>
        <v>Incident to controls</v>
      </c>
      <c r="C53" s="28" t="n">
        <f aca="false">IFERROR(INDEX(Plan!$I$2:$I$400,MATCH($A53,Plan!$A$2:$A$400,0)),"")</f>
        <v>46391</v>
      </c>
      <c r="D53" s="28" t="n">
        <f aca="false">IFERROR(INDEX(Plan!$J$2:$J$400,MATCH($A53,Plan!$A$2:$A$400,0)),"")</f>
        <v>46689</v>
      </c>
      <c r="E53" s="29" t="str">
        <f aca="false">IF(OR($C53="",$D53=""),"",IF(AND(E$3&lt;=$D53,E$3+6&gt;=$C53),IF(AND($D53&gt;=E$3,$D53&lt;=E$3+6),2,1),""))</f>
        <v/>
      </c>
      <c r="F53" s="29" t="str">
        <f aca="false">IF(OR($C53="",$D53=""),"",IF(AND(F$3&lt;=$D53,F$3+6&gt;=$C53),IF(AND($D53&gt;=F$3,$D53&lt;=F$3+6),2,1),""))</f>
        <v/>
      </c>
      <c r="G53" s="29" t="str">
        <f aca="false">IF(OR($C53="",$D53=""),"",IF(AND(G$3&lt;=$D53,G$3+6&gt;=$C53),IF(AND($D53&gt;=G$3,$D53&lt;=G$3+6),2,1),""))</f>
        <v/>
      </c>
      <c r="H53" s="29" t="str">
        <f aca="false">IF(OR($C53="",$D53=""),"",IF(AND(H$3&lt;=$D53,H$3+6&gt;=$C53),IF(AND($D53&gt;=H$3,$D53&lt;=H$3+6),2,1),""))</f>
        <v/>
      </c>
      <c r="I53" s="29" t="str">
        <f aca="false">IF(OR($C53="",$D53=""),"",IF(AND(I$3&lt;=$D53,I$3+6&gt;=$C53),IF(AND($D53&gt;=I$3,$D53&lt;=I$3+6),2,1),""))</f>
        <v/>
      </c>
      <c r="J53" s="29" t="str">
        <f aca="false">IF(OR($C53="",$D53=""),"",IF(AND(J$3&lt;=$D53,J$3+6&gt;=$C53),IF(AND($D53&gt;=J$3,$D53&lt;=J$3+6),2,1),""))</f>
        <v/>
      </c>
      <c r="K53" s="29" t="str">
        <f aca="false">IF(OR($C53="",$D53=""),"",IF(AND(K$3&lt;=$D53,K$3+6&gt;=$C53),IF(AND($D53&gt;=K$3,$D53&lt;=K$3+6),2,1),""))</f>
        <v/>
      </c>
      <c r="L53" s="29" t="str">
        <f aca="false">IF(OR($C53="",$D53=""),"",IF(AND(L$3&lt;=$D53,L$3+6&gt;=$C53),IF(AND($D53&gt;=L$3,$D53&lt;=L$3+6),2,1),""))</f>
        <v/>
      </c>
      <c r="M53" s="29" t="str">
        <f aca="false">IF(OR($C53="",$D53=""),"",IF(AND(M$3&lt;=$D53,M$3+6&gt;=$C53),IF(AND($D53&gt;=M$3,$D53&lt;=M$3+6),2,1),""))</f>
        <v/>
      </c>
      <c r="N53" s="29" t="str">
        <f aca="false">IF(OR($C53="",$D53=""),"",IF(AND(N$3&lt;=$D53,N$3+6&gt;=$C53),IF(AND($D53&gt;=N$3,$D53&lt;=N$3+6),2,1),""))</f>
        <v/>
      </c>
      <c r="O53" s="29" t="n">
        <f aca="false">IF(OR($C53="",$D53=""),"",IF(AND(O$3&lt;=$D53,O$3+6&gt;=$C53),IF(AND($D53&gt;=O$3,$D53&lt;=O$3+6),2,1),""))</f>
        <v>1</v>
      </c>
      <c r="P53" s="29" t="n">
        <f aca="false">IF(OR($C53="",$D53=""),"",IF(AND(P$3&lt;=$D53,P$3+6&gt;=$C53),IF(AND($D53&gt;=P$3,$D53&lt;=P$3+6),2,1),""))</f>
        <v>1</v>
      </c>
      <c r="Q53" s="29" t="n">
        <f aca="false">IF(OR($C53="",$D53=""),"",IF(AND(Q$3&lt;=$D53,Q$3+6&gt;=$C53),IF(AND($D53&gt;=Q$3,$D53&lt;=Q$3+6),2,1),""))</f>
        <v>1</v>
      </c>
      <c r="R53" s="29" t="n">
        <f aca="false">IF(OR($C53="",$D53=""),"",IF(AND(R$3&lt;=$D53,R$3+6&gt;=$C53),IF(AND($D53&gt;=R$3,$D53&lt;=R$3+6),2,1),""))</f>
        <v>1</v>
      </c>
      <c r="S53" s="29" t="n">
        <f aca="false">IF(OR($C53="",$D53=""),"",IF(AND(S$3&lt;=$D53,S$3+6&gt;=$C53),IF(AND($D53&gt;=S$3,$D53&lt;=S$3+6),2,1),""))</f>
        <v>1</v>
      </c>
      <c r="T53" s="29" t="n">
        <f aca="false">IF(OR($C53="",$D53=""),"",IF(AND(T$3&lt;=$D53,T$3+6&gt;=$C53),IF(AND($D53&gt;=T$3,$D53&lt;=T$3+6),2,1),""))</f>
        <v>1</v>
      </c>
      <c r="U53" s="29" t="n">
        <f aca="false">IF(OR($C53="",$D53=""),"",IF(AND(U$3&lt;=$D53,U$3+6&gt;=$C53),IF(AND($D53&gt;=U$3,$D53&lt;=U$3+6),2,1),""))</f>
        <v>1</v>
      </c>
      <c r="V53" s="29" t="n">
        <f aca="false">IF(OR($C53="",$D53=""),"",IF(AND(V$3&lt;=$D53,V$3+6&gt;=$C53),IF(AND($D53&gt;=V$3,$D53&lt;=V$3+6),2,1),""))</f>
        <v>1</v>
      </c>
      <c r="W53" s="29" t="n">
        <f aca="false">IF(OR($C53="",$D53=""),"",IF(AND(W$3&lt;=$D53,W$3+6&gt;=$C53),IF(AND($D53&gt;=W$3,$D53&lt;=W$3+6),2,1),""))</f>
        <v>1</v>
      </c>
      <c r="X53" s="29" t="n">
        <f aca="false">IF(OR($C53="",$D53=""),"",IF(AND(X$3&lt;=$D53,X$3+6&gt;=$C53),IF(AND($D53&gt;=X$3,$D53&lt;=X$3+6),2,1),""))</f>
        <v>1</v>
      </c>
      <c r="Y53" s="29" t="n">
        <f aca="false">IF(OR($C53="",$D53=""),"",IF(AND(Y$3&lt;=$D53,Y$3+6&gt;=$C53),IF(AND($D53&gt;=Y$3,$D53&lt;=Y$3+6),2,1),""))</f>
        <v>1</v>
      </c>
      <c r="Z53" s="29" t="n">
        <f aca="false">IF(OR($C53="",$D53=""),"",IF(AND(Z$3&lt;=$D53,Z$3+6&gt;=$C53),IF(AND($D53&gt;=Z$3,$D53&lt;=Z$3+6),2,1),""))</f>
        <v>1</v>
      </c>
      <c r="AA53" s="29" t="n">
        <f aca="false">IF(OR($C53="",$D53=""),"",IF(AND(AA$3&lt;=$D53,AA$3+6&gt;=$C53),IF(AND($D53&gt;=AA$3,$D53&lt;=AA$3+6),2,1),""))</f>
        <v>1</v>
      </c>
      <c r="AB53" s="29" t="n">
        <f aca="false">IF(OR($C53="",$D53=""),"",IF(AND(AB$3&lt;=$D53,AB$3+6&gt;=$C53),IF(AND($D53&gt;=AB$3,$D53&lt;=AB$3+6),2,1),""))</f>
        <v>1</v>
      </c>
      <c r="AC53" s="29" t="n">
        <f aca="false">IF(OR($C53="",$D53=""),"",IF(AND(AC$3&lt;=$D53,AC$3+6&gt;=$C53),IF(AND($D53&gt;=AC$3,$D53&lt;=AC$3+6),2,1),""))</f>
        <v>1</v>
      </c>
      <c r="AD53" s="29" t="n">
        <f aca="false">IF(OR($C53="",$D53=""),"",IF(AND(AD$3&lt;=$D53,AD$3+6&gt;=$C53),IF(AND($D53&gt;=AD$3,$D53&lt;=AD$3+6),2,1),""))</f>
        <v>1</v>
      </c>
      <c r="AE53" s="29" t="n">
        <f aca="false">IF(OR($C53="",$D53=""),"",IF(AND(AE$3&lt;=$D53,AE$3+6&gt;=$C53),IF(AND($D53&gt;=AE$3,$D53&lt;=AE$3+6),2,1),""))</f>
        <v>1</v>
      </c>
      <c r="AF53" s="29" t="n">
        <f aca="false">IF(OR($C53="",$D53=""),"",IF(AND(AF$3&lt;=$D53,AF$3+6&gt;=$C53),IF(AND($D53&gt;=AF$3,$D53&lt;=AF$3+6),2,1),""))</f>
        <v>1</v>
      </c>
      <c r="AG53" s="29" t="n">
        <f aca="false">IF(OR($C53="",$D53=""),"",IF(AND(AG$3&lt;=$D53,AG$3+6&gt;=$C53),IF(AND($D53&gt;=AG$3,$D53&lt;=AG$3+6),2,1),""))</f>
        <v>1</v>
      </c>
      <c r="AH53" s="29" t="n">
        <f aca="false">IF(OR($C53="",$D53=""),"",IF(AND(AH$3&lt;=$D53,AH$3+6&gt;=$C53),IF(AND($D53&gt;=AH$3,$D53&lt;=AH$3+6),2,1),""))</f>
        <v>1</v>
      </c>
      <c r="AI53" s="29" t="n">
        <f aca="false">IF(OR($C53="",$D53=""),"",IF(AND(AI$3&lt;=$D53,AI$3+6&gt;=$C53),IF(AND($D53&gt;=AI$3,$D53&lt;=AI$3+6),2,1),""))</f>
        <v>1</v>
      </c>
      <c r="AJ53" s="29" t="n">
        <f aca="false">IF(OR($C53="",$D53=""),"",IF(AND(AJ$3&lt;=$D53,AJ$3+6&gt;=$C53),IF(AND($D53&gt;=AJ$3,$D53&lt;=AJ$3+6),2,1),""))</f>
        <v>1</v>
      </c>
      <c r="AK53" s="29" t="n">
        <f aca="false">IF(OR($C53="",$D53=""),"",IF(AND(AK$3&lt;=$D53,AK$3+6&gt;=$C53),IF(AND($D53&gt;=AK$3,$D53&lt;=AK$3+6),2,1),""))</f>
        <v>1</v>
      </c>
      <c r="AL53" s="29" t="n">
        <f aca="false">IF(OR($C53="",$D53=""),"",IF(AND(AL$3&lt;=$D53,AL$3+6&gt;=$C53),IF(AND($D53&gt;=AL$3,$D53&lt;=AL$3+6),2,1),""))</f>
        <v>1</v>
      </c>
      <c r="AM53" s="29" t="n">
        <f aca="false">IF(OR($C53="",$D53=""),"",IF(AND(AM$3&lt;=$D53,AM$3+6&gt;=$C53),IF(AND($D53&gt;=AM$3,$D53&lt;=AM$3+6),2,1),""))</f>
        <v>1</v>
      </c>
      <c r="AN53" s="29" t="n">
        <f aca="false">IF(OR($C53="",$D53=""),"",IF(AND(AN$3&lt;=$D53,AN$3+6&gt;=$C53),IF(AND($D53&gt;=AN$3,$D53&lt;=AN$3+6),2,1),""))</f>
        <v>1</v>
      </c>
      <c r="AO53" s="29" t="n">
        <f aca="false">IF(OR($C53="",$D53=""),"",IF(AND(AO$3&lt;=$D53,AO$3+6&gt;=$C53),IF(AND($D53&gt;=AO$3,$D53&lt;=AO$3+6),2,1),""))</f>
        <v>1</v>
      </c>
      <c r="AP53" s="29" t="n">
        <f aca="false">IF(OR($C53="",$D53=""),"",IF(AND(AP$3&lt;=$D53,AP$3+6&gt;=$C53),IF(AND($D53&gt;=AP$3,$D53&lt;=AP$3+6),2,1),""))</f>
        <v>1</v>
      </c>
      <c r="AQ53" s="29" t="n">
        <f aca="false">IF(OR($C53="",$D53=""),"",IF(AND(AQ$3&lt;=$D53,AQ$3+6&gt;=$C53),IF(AND($D53&gt;=AQ$3,$D53&lt;=AQ$3+6),2,1),""))</f>
        <v>1</v>
      </c>
      <c r="AR53" s="29" t="n">
        <f aca="false">IF(OR($C53="",$D53=""),"",IF(AND(AR$3&lt;=$D53,AR$3+6&gt;=$C53),IF(AND($D53&gt;=AR$3,$D53&lt;=AR$3+6),2,1),""))</f>
        <v>1</v>
      </c>
      <c r="AS53" s="29" t="n">
        <f aca="false">IF(OR($C53="",$D53=""),"",IF(AND(AS$3&lt;=$D53,AS$3+6&gt;=$C53),IF(AND($D53&gt;=AS$3,$D53&lt;=AS$3+6),2,1),""))</f>
        <v>1</v>
      </c>
      <c r="AT53" s="29" t="n">
        <f aca="false">IF(OR($C53="",$D53=""),"",IF(AND(AT$3&lt;=$D53,AT$3+6&gt;=$C53),IF(AND($D53&gt;=AT$3,$D53&lt;=AT$3+6),2,1),""))</f>
        <v>1</v>
      </c>
      <c r="AU53" s="29" t="n">
        <f aca="false">IF(OR($C53="",$D53=""),"",IF(AND(AU$3&lt;=$D53,AU$3+6&gt;=$C53),IF(AND($D53&gt;=AU$3,$D53&lt;=AU$3+6),2,1),""))</f>
        <v>1</v>
      </c>
      <c r="AV53" s="29" t="n">
        <f aca="false">IF(OR($C53="",$D53=""),"",IF(AND(AV$3&lt;=$D53,AV$3+6&gt;=$C53),IF(AND($D53&gt;=AV$3,$D53&lt;=AV$3+6),2,1),""))</f>
        <v>1</v>
      </c>
      <c r="AW53" s="29" t="n">
        <f aca="false">IF(OR($C53="",$D53=""),"",IF(AND(AW$3&lt;=$D53,AW$3+6&gt;=$C53),IF(AND($D53&gt;=AW$3,$D53&lt;=AW$3+6),2,1),""))</f>
        <v>1</v>
      </c>
      <c r="AX53" s="29" t="n">
        <f aca="false">IF(OR($C53="",$D53=""),"",IF(AND(AX$3&lt;=$D53,AX$3+6&gt;=$C53),IF(AND($D53&gt;=AX$3,$D53&lt;=AX$3+6),2,1),""))</f>
        <v>1</v>
      </c>
      <c r="AY53" s="29" t="n">
        <f aca="false">IF(OR($C53="",$D53=""),"",IF(AND(AY$3&lt;=$D53,AY$3+6&gt;=$C53),IF(AND($D53&gt;=AY$3,$D53&lt;=AY$3+6),2,1),""))</f>
        <v>1</v>
      </c>
      <c r="AZ53" s="29" t="n">
        <f aca="false">IF(OR($C53="",$D53=""),"",IF(AND(AZ$3&lt;=$D53,AZ$3+6&gt;=$C53),IF(AND($D53&gt;=AZ$3,$D53&lt;=AZ$3+6),2,1),""))</f>
        <v>1</v>
      </c>
      <c r="BA53" s="29" t="n">
        <f aca="false">IF(OR($C53="",$D53=""),"",IF(AND(BA$3&lt;=$D53,BA$3+6&gt;=$C53),IF(AND($D53&gt;=BA$3,$D53&lt;=BA$3+6),2,1),""))</f>
        <v>1</v>
      </c>
      <c r="BB53" s="29" t="n">
        <f aca="false">IF(OR($C53="",$D53=""),"",IF(AND(BB$3&lt;=$D53,BB$3+6&gt;=$C53),IF(AND($D53&gt;=BB$3,$D53&lt;=BB$3+6),2,1),""))</f>
        <v>1</v>
      </c>
      <c r="BC53" s="29" t="n">
        <f aca="false">IF(OR($C53="",$D53=""),"",IF(AND(BC$3&lt;=$D53,BC$3+6&gt;=$C53),IF(AND($D53&gt;=BC$3,$D53&lt;=BC$3+6),2,1),""))</f>
        <v>1</v>
      </c>
      <c r="BD53" s="29" t="n">
        <f aca="false">IF(OR($C53="",$D53=""),"",IF(AND(BD$3&lt;=$D53,BD$3+6&gt;=$C53),IF(AND($D53&gt;=BD$3,$D53&lt;=BD$3+6),2,1),""))</f>
        <v>1</v>
      </c>
      <c r="BE53" s="29" t="n">
        <f aca="false">IF(OR($C53="",$D53=""),"",IF(AND(BE$3&lt;=$D53,BE$3+6&gt;=$C53),IF(AND($D53&gt;=BE$3,$D53&lt;=BE$3+6),2,1),""))</f>
        <v>2</v>
      </c>
      <c r="BF53" s="29" t="str">
        <f aca="false">IF(OR($C53="",$D53=""),"",IF(AND(BF$3&lt;=$D53,BF$3+6&gt;=$C53),IF(AND($D53&gt;=BF$3,$D53&lt;=BF$3+6),2,1),""))</f>
        <v/>
      </c>
    </row>
    <row r="54" customFormat="false" ht="15" hidden="false" customHeight="true" outlineLevel="0" collapsed="false">
      <c r="A54" s="16" t="s">
        <v>366</v>
      </c>
      <c r="B54" s="27" t="str">
        <f aca="false">IFERROR(INDEX(Plan!$C$2:$C$400,MATCH($A54,Plan!$A$2:$A$400,0)),"")</f>
        <v>Autonomy ladder policy</v>
      </c>
      <c r="C54" s="28" t="n">
        <f aca="false">IFERROR(INDEX(Plan!$I$2:$I$400,MATCH($A54,Plan!$A$2:$A$400,0)),"")</f>
        <v>46510</v>
      </c>
      <c r="D54" s="28" t="n">
        <f aca="false">IFERROR(INDEX(Plan!$J$2:$J$400,MATCH($A54,Plan!$A$2:$A$400,0)),"")</f>
        <v>46535</v>
      </c>
      <c r="E54" s="29" t="str">
        <f aca="false">IF(OR($C54="",$D54=""),"",IF(AND(E$3&lt;=$D54,E$3+6&gt;=$C54),IF(AND($D54&gt;=E$3,$D54&lt;=E$3+6),2,1),""))</f>
        <v/>
      </c>
      <c r="F54" s="29" t="str">
        <f aca="false">IF(OR($C54="",$D54=""),"",IF(AND(F$3&lt;=$D54,F$3+6&gt;=$C54),IF(AND($D54&gt;=F$3,$D54&lt;=F$3+6),2,1),""))</f>
        <v/>
      </c>
      <c r="G54" s="29" t="str">
        <f aca="false">IF(OR($C54="",$D54=""),"",IF(AND(G$3&lt;=$D54,G$3+6&gt;=$C54),IF(AND($D54&gt;=G$3,$D54&lt;=G$3+6),2,1),""))</f>
        <v/>
      </c>
      <c r="H54" s="29" t="str">
        <f aca="false">IF(OR($C54="",$D54=""),"",IF(AND(H$3&lt;=$D54,H$3+6&gt;=$C54),IF(AND($D54&gt;=H$3,$D54&lt;=H$3+6),2,1),""))</f>
        <v/>
      </c>
      <c r="I54" s="29" t="str">
        <f aca="false">IF(OR($C54="",$D54=""),"",IF(AND(I$3&lt;=$D54,I$3+6&gt;=$C54),IF(AND($D54&gt;=I$3,$D54&lt;=I$3+6),2,1),""))</f>
        <v/>
      </c>
      <c r="J54" s="29" t="str">
        <f aca="false">IF(OR($C54="",$D54=""),"",IF(AND(J$3&lt;=$D54,J$3+6&gt;=$C54),IF(AND($D54&gt;=J$3,$D54&lt;=J$3+6),2,1),""))</f>
        <v/>
      </c>
      <c r="K54" s="29" t="str">
        <f aca="false">IF(OR($C54="",$D54=""),"",IF(AND(K$3&lt;=$D54,K$3+6&gt;=$C54),IF(AND($D54&gt;=K$3,$D54&lt;=K$3+6),2,1),""))</f>
        <v/>
      </c>
      <c r="L54" s="29" t="str">
        <f aca="false">IF(OR($C54="",$D54=""),"",IF(AND(L$3&lt;=$D54,L$3+6&gt;=$C54),IF(AND($D54&gt;=L$3,$D54&lt;=L$3+6),2,1),""))</f>
        <v/>
      </c>
      <c r="M54" s="29" t="str">
        <f aca="false">IF(OR($C54="",$D54=""),"",IF(AND(M$3&lt;=$D54,M$3+6&gt;=$C54),IF(AND($D54&gt;=M$3,$D54&lt;=M$3+6),2,1),""))</f>
        <v/>
      </c>
      <c r="N54" s="29" t="str">
        <f aca="false">IF(OR($C54="",$D54=""),"",IF(AND(N$3&lt;=$D54,N$3+6&gt;=$C54),IF(AND($D54&gt;=N$3,$D54&lt;=N$3+6),2,1),""))</f>
        <v/>
      </c>
      <c r="O54" s="29" t="str">
        <f aca="false">IF(OR($C54="",$D54=""),"",IF(AND(O$3&lt;=$D54,O$3+6&gt;=$C54),IF(AND($D54&gt;=O$3,$D54&lt;=O$3+6),2,1),""))</f>
        <v/>
      </c>
      <c r="P54" s="29" t="str">
        <f aca="false">IF(OR($C54="",$D54=""),"",IF(AND(P$3&lt;=$D54,P$3+6&gt;=$C54),IF(AND($D54&gt;=P$3,$D54&lt;=P$3+6),2,1),""))</f>
        <v/>
      </c>
      <c r="Q54" s="29" t="str">
        <f aca="false">IF(OR($C54="",$D54=""),"",IF(AND(Q$3&lt;=$D54,Q$3+6&gt;=$C54),IF(AND($D54&gt;=Q$3,$D54&lt;=Q$3+6),2,1),""))</f>
        <v/>
      </c>
      <c r="R54" s="29" t="str">
        <f aca="false">IF(OR($C54="",$D54=""),"",IF(AND(R$3&lt;=$D54,R$3+6&gt;=$C54),IF(AND($D54&gt;=R$3,$D54&lt;=R$3+6),2,1),""))</f>
        <v/>
      </c>
      <c r="S54" s="29" t="str">
        <f aca="false">IF(OR($C54="",$D54=""),"",IF(AND(S$3&lt;=$D54,S$3+6&gt;=$C54),IF(AND($D54&gt;=S$3,$D54&lt;=S$3+6),2,1),""))</f>
        <v/>
      </c>
      <c r="T54" s="29" t="str">
        <f aca="false">IF(OR($C54="",$D54=""),"",IF(AND(T$3&lt;=$D54,T$3+6&gt;=$C54),IF(AND($D54&gt;=T$3,$D54&lt;=T$3+6),2,1),""))</f>
        <v/>
      </c>
      <c r="U54" s="29" t="str">
        <f aca="false">IF(OR($C54="",$D54=""),"",IF(AND(U$3&lt;=$D54,U$3+6&gt;=$C54),IF(AND($D54&gt;=U$3,$D54&lt;=U$3+6),2,1),""))</f>
        <v/>
      </c>
      <c r="V54" s="29" t="str">
        <f aca="false">IF(OR($C54="",$D54=""),"",IF(AND(V$3&lt;=$D54,V$3+6&gt;=$C54),IF(AND($D54&gt;=V$3,$D54&lt;=V$3+6),2,1),""))</f>
        <v/>
      </c>
      <c r="W54" s="29" t="str">
        <f aca="false">IF(OR($C54="",$D54=""),"",IF(AND(W$3&lt;=$D54,W$3+6&gt;=$C54),IF(AND($D54&gt;=W$3,$D54&lt;=W$3+6),2,1),""))</f>
        <v/>
      </c>
      <c r="X54" s="29" t="str">
        <f aca="false">IF(OR($C54="",$D54=""),"",IF(AND(X$3&lt;=$D54,X$3+6&gt;=$C54),IF(AND($D54&gt;=X$3,$D54&lt;=X$3+6),2,1),""))</f>
        <v/>
      </c>
      <c r="Y54" s="29" t="str">
        <f aca="false">IF(OR($C54="",$D54=""),"",IF(AND(Y$3&lt;=$D54,Y$3+6&gt;=$C54),IF(AND($D54&gt;=Y$3,$D54&lt;=Y$3+6),2,1),""))</f>
        <v/>
      </c>
      <c r="Z54" s="29" t="str">
        <f aca="false">IF(OR($C54="",$D54=""),"",IF(AND(Z$3&lt;=$D54,Z$3+6&gt;=$C54),IF(AND($D54&gt;=Z$3,$D54&lt;=Z$3+6),2,1),""))</f>
        <v/>
      </c>
      <c r="AA54" s="29" t="str">
        <f aca="false">IF(OR($C54="",$D54=""),"",IF(AND(AA$3&lt;=$D54,AA$3+6&gt;=$C54),IF(AND($D54&gt;=AA$3,$D54&lt;=AA$3+6),2,1),""))</f>
        <v/>
      </c>
      <c r="AB54" s="29" t="str">
        <f aca="false">IF(OR($C54="",$D54=""),"",IF(AND(AB$3&lt;=$D54,AB$3+6&gt;=$C54),IF(AND($D54&gt;=AB$3,$D54&lt;=AB$3+6),2,1),""))</f>
        <v/>
      </c>
      <c r="AC54" s="29" t="str">
        <f aca="false">IF(OR($C54="",$D54=""),"",IF(AND(AC$3&lt;=$D54,AC$3+6&gt;=$C54),IF(AND($D54&gt;=AC$3,$D54&lt;=AC$3+6),2,1),""))</f>
        <v/>
      </c>
      <c r="AD54" s="29" t="str">
        <f aca="false">IF(OR($C54="",$D54=""),"",IF(AND(AD$3&lt;=$D54,AD$3+6&gt;=$C54),IF(AND($D54&gt;=AD$3,$D54&lt;=AD$3+6),2,1),""))</f>
        <v/>
      </c>
      <c r="AE54" s="29" t="str">
        <f aca="false">IF(OR($C54="",$D54=""),"",IF(AND(AE$3&lt;=$D54,AE$3+6&gt;=$C54),IF(AND($D54&gt;=AE$3,$D54&lt;=AE$3+6),2,1),""))</f>
        <v/>
      </c>
      <c r="AF54" s="29" t="n">
        <f aca="false">IF(OR($C54="",$D54=""),"",IF(AND(AF$3&lt;=$D54,AF$3+6&gt;=$C54),IF(AND($D54&gt;=AF$3,$D54&lt;=AF$3+6),2,1),""))</f>
        <v>1</v>
      </c>
      <c r="AG54" s="29" t="n">
        <f aca="false">IF(OR($C54="",$D54=""),"",IF(AND(AG$3&lt;=$D54,AG$3+6&gt;=$C54),IF(AND($D54&gt;=AG$3,$D54&lt;=AG$3+6),2,1),""))</f>
        <v>1</v>
      </c>
      <c r="AH54" s="29" t="n">
        <f aca="false">IF(OR($C54="",$D54=""),"",IF(AND(AH$3&lt;=$D54,AH$3+6&gt;=$C54),IF(AND($D54&gt;=AH$3,$D54&lt;=AH$3+6),2,1),""))</f>
        <v>1</v>
      </c>
      <c r="AI54" s="29" t="n">
        <f aca="false">IF(OR($C54="",$D54=""),"",IF(AND(AI$3&lt;=$D54,AI$3+6&gt;=$C54),IF(AND($D54&gt;=AI$3,$D54&lt;=AI$3+6),2,1),""))</f>
        <v>2</v>
      </c>
      <c r="AJ54" s="29" t="str">
        <f aca="false">IF(OR($C54="",$D54=""),"",IF(AND(AJ$3&lt;=$D54,AJ$3+6&gt;=$C54),IF(AND($D54&gt;=AJ$3,$D54&lt;=AJ$3+6),2,1),""))</f>
        <v/>
      </c>
      <c r="AK54" s="29" t="str">
        <f aca="false">IF(OR($C54="",$D54=""),"",IF(AND(AK$3&lt;=$D54,AK$3+6&gt;=$C54),IF(AND($D54&gt;=AK$3,$D54&lt;=AK$3+6),2,1),""))</f>
        <v/>
      </c>
      <c r="AL54" s="29" t="str">
        <f aca="false">IF(OR($C54="",$D54=""),"",IF(AND(AL$3&lt;=$D54,AL$3+6&gt;=$C54),IF(AND($D54&gt;=AL$3,$D54&lt;=AL$3+6),2,1),""))</f>
        <v/>
      </c>
      <c r="AM54" s="29" t="str">
        <f aca="false">IF(OR($C54="",$D54=""),"",IF(AND(AM$3&lt;=$D54,AM$3+6&gt;=$C54),IF(AND($D54&gt;=AM$3,$D54&lt;=AM$3+6),2,1),""))</f>
        <v/>
      </c>
      <c r="AN54" s="29" t="str">
        <f aca="false">IF(OR($C54="",$D54=""),"",IF(AND(AN$3&lt;=$D54,AN$3+6&gt;=$C54),IF(AND($D54&gt;=AN$3,$D54&lt;=AN$3+6),2,1),""))</f>
        <v/>
      </c>
      <c r="AO54" s="29" t="str">
        <f aca="false">IF(OR($C54="",$D54=""),"",IF(AND(AO$3&lt;=$D54,AO$3+6&gt;=$C54),IF(AND($D54&gt;=AO$3,$D54&lt;=AO$3+6),2,1),""))</f>
        <v/>
      </c>
      <c r="AP54" s="29" t="str">
        <f aca="false">IF(OR($C54="",$D54=""),"",IF(AND(AP$3&lt;=$D54,AP$3+6&gt;=$C54),IF(AND($D54&gt;=AP$3,$D54&lt;=AP$3+6),2,1),""))</f>
        <v/>
      </c>
      <c r="AQ54" s="29" t="str">
        <f aca="false">IF(OR($C54="",$D54=""),"",IF(AND(AQ$3&lt;=$D54,AQ$3+6&gt;=$C54),IF(AND($D54&gt;=AQ$3,$D54&lt;=AQ$3+6),2,1),""))</f>
        <v/>
      </c>
      <c r="AR54" s="29" t="str">
        <f aca="false">IF(OR($C54="",$D54=""),"",IF(AND(AR$3&lt;=$D54,AR$3+6&gt;=$C54),IF(AND($D54&gt;=AR$3,$D54&lt;=AR$3+6),2,1),""))</f>
        <v/>
      </c>
      <c r="AS54" s="29" t="str">
        <f aca="false">IF(OR($C54="",$D54=""),"",IF(AND(AS$3&lt;=$D54,AS$3+6&gt;=$C54),IF(AND($D54&gt;=AS$3,$D54&lt;=AS$3+6),2,1),""))</f>
        <v/>
      </c>
      <c r="AT54" s="29" t="str">
        <f aca="false">IF(OR($C54="",$D54=""),"",IF(AND(AT$3&lt;=$D54,AT$3+6&gt;=$C54),IF(AND($D54&gt;=AT$3,$D54&lt;=AT$3+6),2,1),""))</f>
        <v/>
      </c>
      <c r="AU54" s="29" t="str">
        <f aca="false">IF(OR($C54="",$D54=""),"",IF(AND(AU$3&lt;=$D54,AU$3+6&gt;=$C54),IF(AND($D54&gt;=AU$3,$D54&lt;=AU$3+6),2,1),""))</f>
        <v/>
      </c>
      <c r="AV54" s="29" t="str">
        <f aca="false">IF(OR($C54="",$D54=""),"",IF(AND(AV$3&lt;=$D54,AV$3+6&gt;=$C54),IF(AND($D54&gt;=AV$3,$D54&lt;=AV$3+6),2,1),""))</f>
        <v/>
      </c>
      <c r="AW54" s="29" t="str">
        <f aca="false">IF(OR($C54="",$D54=""),"",IF(AND(AW$3&lt;=$D54,AW$3+6&gt;=$C54),IF(AND($D54&gt;=AW$3,$D54&lt;=AW$3+6),2,1),""))</f>
        <v/>
      </c>
      <c r="AX54" s="29" t="str">
        <f aca="false">IF(OR($C54="",$D54=""),"",IF(AND(AX$3&lt;=$D54,AX$3+6&gt;=$C54),IF(AND($D54&gt;=AX$3,$D54&lt;=AX$3+6),2,1),""))</f>
        <v/>
      </c>
      <c r="AY54" s="29" t="str">
        <f aca="false">IF(OR($C54="",$D54=""),"",IF(AND(AY$3&lt;=$D54,AY$3+6&gt;=$C54),IF(AND($D54&gt;=AY$3,$D54&lt;=AY$3+6),2,1),""))</f>
        <v/>
      </c>
      <c r="AZ54" s="29" t="str">
        <f aca="false">IF(OR($C54="",$D54=""),"",IF(AND(AZ$3&lt;=$D54,AZ$3+6&gt;=$C54),IF(AND($D54&gt;=AZ$3,$D54&lt;=AZ$3+6),2,1),""))</f>
        <v/>
      </c>
      <c r="BA54" s="29" t="str">
        <f aca="false">IF(OR($C54="",$D54=""),"",IF(AND(BA$3&lt;=$D54,BA$3+6&gt;=$C54),IF(AND($D54&gt;=BA$3,$D54&lt;=BA$3+6),2,1),""))</f>
        <v/>
      </c>
      <c r="BB54" s="29" t="str">
        <f aca="false">IF(OR($C54="",$D54=""),"",IF(AND(BB$3&lt;=$D54,BB$3+6&gt;=$C54),IF(AND($D54&gt;=BB$3,$D54&lt;=BB$3+6),2,1),""))</f>
        <v/>
      </c>
      <c r="BC54" s="29" t="str">
        <f aca="false">IF(OR($C54="",$D54=""),"",IF(AND(BC$3&lt;=$D54,BC$3+6&gt;=$C54),IF(AND($D54&gt;=BC$3,$D54&lt;=BC$3+6),2,1),""))</f>
        <v/>
      </c>
      <c r="BD54" s="29" t="str">
        <f aca="false">IF(OR($C54="",$D54=""),"",IF(AND(BD$3&lt;=$D54,BD$3+6&gt;=$C54),IF(AND($D54&gt;=BD$3,$D54&lt;=BD$3+6),2,1),""))</f>
        <v/>
      </c>
      <c r="BE54" s="29" t="str">
        <f aca="false">IF(OR($C54="",$D54=""),"",IF(AND(BE$3&lt;=$D54,BE$3+6&gt;=$C54),IF(AND($D54&gt;=BE$3,$D54&lt;=BE$3+6),2,1),""))</f>
        <v/>
      </c>
      <c r="BF54" s="29" t="str">
        <f aca="false">IF(OR($C54="",$D54=""),"",IF(AND(BF$3&lt;=$D54,BF$3+6&gt;=$C54),IF(AND($D54&gt;=BF$3,$D54&lt;=BF$3+6),2,1),""))</f>
        <v/>
      </c>
    </row>
    <row r="55" customFormat="false" ht="15" hidden="false" customHeight="true" outlineLevel="0" collapsed="false">
      <c r="A55" s="16" t="s">
        <v>371</v>
      </c>
      <c r="B55" s="27" t="str">
        <f aca="false">IFERROR(INDEX(Plan!$C$2:$C$400,MATCH($A55,Plan!$A$2:$A$400,0)),"")</f>
        <v>Scale the workflow to all teams</v>
      </c>
      <c r="C55" s="28" t="n">
        <f aca="false">IFERROR(INDEX(Plan!$I$2:$I$400,MATCH($A55,Plan!$A$2:$A$400,0)),"")</f>
        <v>46510</v>
      </c>
      <c r="D55" s="28" t="n">
        <f aca="false">IFERROR(INDEX(Plan!$J$2:$J$400,MATCH($A55,Plan!$A$2:$A$400,0)),"")</f>
        <v>46689</v>
      </c>
      <c r="E55" s="29" t="str">
        <f aca="false">IF(OR($C55="",$D55=""),"",IF(AND(E$3&lt;=$D55,E$3+6&gt;=$C55),IF(AND($D55&gt;=E$3,$D55&lt;=E$3+6),2,1),""))</f>
        <v/>
      </c>
      <c r="F55" s="29" t="str">
        <f aca="false">IF(OR($C55="",$D55=""),"",IF(AND(F$3&lt;=$D55,F$3+6&gt;=$C55),IF(AND($D55&gt;=F$3,$D55&lt;=F$3+6),2,1),""))</f>
        <v/>
      </c>
      <c r="G55" s="29" t="str">
        <f aca="false">IF(OR($C55="",$D55=""),"",IF(AND(G$3&lt;=$D55,G$3+6&gt;=$C55),IF(AND($D55&gt;=G$3,$D55&lt;=G$3+6),2,1),""))</f>
        <v/>
      </c>
      <c r="H55" s="29" t="str">
        <f aca="false">IF(OR($C55="",$D55=""),"",IF(AND(H$3&lt;=$D55,H$3+6&gt;=$C55),IF(AND($D55&gt;=H$3,$D55&lt;=H$3+6),2,1),""))</f>
        <v/>
      </c>
      <c r="I55" s="29" t="str">
        <f aca="false">IF(OR($C55="",$D55=""),"",IF(AND(I$3&lt;=$D55,I$3+6&gt;=$C55),IF(AND($D55&gt;=I$3,$D55&lt;=I$3+6),2,1),""))</f>
        <v/>
      </c>
      <c r="J55" s="29" t="str">
        <f aca="false">IF(OR($C55="",$D55=""),"",IF(AND(J$3&lt;=$D55,J$3+6&gt;=$C55),IF(AND($D55&gt;=J$3,$D55&lt;=J$3+6),2,1),""))</f>
        <v/>
      </c>
      <c r="K55" s="29" t="str">
        <f aca="false">IF(OR($C55="",$D55=""),"",IF(AND(K$3&lt;=$D55,K$3+6&gt;=$C55),IF(AND($D55&gt;=K$3,$D55&lt;=K$3+6),2,1),""))</f>
        <v/>
      </c>
      <c r="L55" s="29" t="str">
        <f aca="false">IF(OR($C55="",$D55=""),"",IF(AND(L$3&lt;=$D55,L$3+6&gt;=$C55),IF(AND($D55&gt;=L$3,$D55&lt;=L$3+6),2,1),""))</f>
        <v/>
      </c>
      <c r="M55" s="29" t="str">
        <f aca="false">IF(OR($C55="",$D55=""),"",IF(AND(M$3&lt;=$D55,M$3+6&gt;=$C55),IF(AND($D55&gt;=M$3,$D55&lt;=M$3+6),2,1),""))</f>
        <v/>
      </c>
      <c r="N55" s="29" t="str">
        <f aca="false">IF(OR($C55="",$D55=""),"",IF(AND(N$3&lt;=$D55,N$3+6&gt;=$C55),IF(AND($D55&gt;=N$3,$D55&lt;=N$3+6),2,1),""))</f>
        <v/>
      </c>
      <c r="O55" s="29" t="str">
        <f aca="false">IF(OR($C55="",$D55=""),"",IF(AND(O$3&lt;=$D55,O$3+6&gt;=$C55),IF(AND($D55&gt;=O$3,$D55&lt;=O$3+6),2,1),""))</f>
        <v/>
      </c>
      <c r="P55" s="29" t="str">
        <f aca="false">IF(OR($C55="",$D55=""),"",IF(AND(P$3&lt;=$D55,P$3+6&gt;=$C55),IF(AND($D55&gt;=P$3,$D55&lt;=P$3+6),2,1),""))</f>
        <v/>
      </c>
      <c r="Q55" s="29" t="str">
        <f aca="false">IF(OR($C55="",$D55=""),"",IF(AND(Q$3&lt;=$D55,Q$3+6&gt;=$C55),IF(AND($D55&gt;=Q$3,$D55&lt;=Q$3+6),2,1),""))</f>
        <v/>
      </c>
      <c r="R55" s="29" t="str">
        <f aca="false">IF(OR($C55="",$D55=""),"",IF(AND(R$3&lt;=$D55,R$3+6&gt;=$C55),IF(AND($D55&gt;=R$3,$D55&lt;=R$3+6),2,1),""))</f>
        <v/>
      </c>
      <c r="S55" s="29" t="str">
        <f aca="false">IF(OR($C55="",$D55=""),"",IF(AND(S$3&lt;=$D55,S$3+6&gt;=$C55),IF(AND($D55&gt;=S$3,$D55&lt;=S$3+6),2,1),""))</f>
        <v/>
      </c>
      <c r="T55" s="29" t="str">
        <f aca="false">IF(OR($C55="",$D55=""),"",IF(AND(T$3&lt;=$D55,T$3+6&gt;=$C55),IF(AND($D55&gt;=T$3,$D55&lt;=T$3+6),2,1),""))</f>
        <v/>
      </c>
      <c r="U55" s="29" t="str">
        <f aca="false">IF(OR($C55="",$D55=""),"",IF(AND(U$3&lt;=$D55,U$3+6&gt;=$C55),IF(AND($D55&gt;=U$3,$D55&lt;=U$3+6),2,1),""))</f>
        <v/>
      </c>
      <c r="V55" s="29" t="str">
        <f aca="false">IF(OR($C55="",$D55=""),"",IF(AND(V$3&lt;=$D55,V$3+6&gt;=$C55),IF(AND($D55&gt;=V$3,$D55&lt;=V$3+6),2,1),""))</f>
        <v/>
      </c>
      <c r="W55" s="29" t="str">
        <f aca="false">IF(OR($C55="",$D55=""),"",IF(AND(W$3&lt;=$D55,W$3+6&gt;=$C55),IF(AND($D55&gt;=W$3,$D55&lt;=W$3+6),2,1),""))</f>
        <v/>
      </c>
      <c r="X55" s="29" t="str">
        <f aca="false">IF(OR($C55="",$D55=""),"",IF(AND(X$3&lt;=$D55,X$3+6&gt;=$C55),IF(AND($D55&gt;=X$3,$D55&lt;=X$3+6),2,1),""))</f>
        <v/>
      </c>
      <c r="Y55" s="29" t="str">
        <f aca="false">IF(OR($C55="",$D55=""),"",IF(AND(Y$3&lt;=$D55,Y$3+6&gt;=$C55),IF(AND($D55&gt;=Y$3,$D55&lt;=Y$3+6),2,1),""))</f>
        <v/>
      </c>
      <c r="Z55" s="29" t="str">
        <f aca="false">IF(OR($C55="",$D55=""),"",IF(AND(Z$3&lt;=$D55,Z$3+6&gt;=$C55),IF(AND($D55&gt;=Z$3,$D55&lt;=Z$3+6),2,1),""))</f>
        <v/>
      </c>
      <c r="AA55" s="29" t="str">
        <f aca="false">IF(OR($C55="",$D55=""),"",IF(AND(AA$3&lt;=$D55,AA$3+6&gt;=$C55),IF(AND($D55&gt;=AA$3,$D55&lt;=AA$3+6),2,1),""))</f>
        <v/>
      </c>
      <c r="AB55" s="29" t="str">
        <f aca="false">IF(OR($C55="",$D55=""),"",IF(AND(AB$3&lt;=$D55,AB$3+6&gt;=$C55),IF(AND($D55&gt;=AB$3,$D55&lt;=AB$3+6),2,1),""))</f>
        <v/>
      </c>
      <c r="AC55" s="29" t="str">
        <f aca="false">IF(OR($C55="",$D55=""),"",IF(AND(AC$3&lt;=$D55,AC$3+6&gt;=$C55),IF(AND($D55&gt;=AC$3,$D55&lt;=AC$3+6),2,1),""))</f>
        <v/>
      </c>
      <c r="AD55" s="29" t="str">
        <f aca="false">IF(OR($C55="",$D55=""),"",IF(AND(AD$3&lt;=$D55,AD$3+6&gt;=$C55),IF(AND($D55&gt;=AD$3,$D55&lt;=AD$3+6),2,1),""))</f>
        <v/>
      </c>
      <c r="AE55" s="29" t="str">
        <f aca="false">IF(OR($C55="",$D55=""),"",IF(AND(AE$3&lt;=$D55,AE$3+6&gt;=$C55),IF(AND($D55&gt;=AE$3,$D55&lt;=AE$3+6),2,1),""))</f>
        <v/>
      </c>
      <c r="AF55" s="29" t="n">
        <f aca="false">IF(OR($C55="",$D55=""),"",IF(AND(AF$3&lt;=$D55,AF$3+6&gt;=$C55),IF(AND($D55&gt;=AF$3,$D55&lt;=AF$3+6),2,1),""))</f>
        <v>1</v>
      </c>
      <c r="AG55" s="29" t="n">
        <f aca="false">IF(OR($C55="",$D55=""),"",IF(AND(AG$3&lt;=$D55,AG$3+6&gt;=$C55),IF(AND($D55&gt;=AG$3,$D55&lt;=AG$3+6),2,1),""))</f>
        <v>1</v>
      </c>
      <c r="AH55" s="29" t="n">
        <f aca="false">IF(OR($C55="",$D55=""),"",IF(AND(AH$3&lt;=$D55,AH$3+6&gt;=$C55),IF(AND($D55&gt;=AH$3,$D55&lt;=AH$3+6),2,1),""))</f>
        <v>1</v>
      </c>
      <c r="AI55" s="29" t="n">
        <f aca="false">IF(OR($C55="",$D55=""),"",IF(AND(AI$3&lt;=$D55,AI$3+6&gt;=$C55),IF(AND($D55&gt;=AI$3,$D55&lt;=AI$3+6),2,1),""))</f>
        <v>1</v>
      </c>
      <c r="AJ55" s="29" t="n">
        <f aca="false">IF(OR($C55="",$D55=""),"",IF(AND(AJ$3&lt;=$D55,AJ$3+6&gt;=$C55),IF(AND($D55&gt;=AJ$3,$D55&lt;=AJ$3+6),2,1),""))</f>
        <v>1</v>
      </c>
      <c r="AK55" s="29" t="n">
        <f aca="false">IF(OR($C55="",$D55=""),"",IF(AND(AK$3&lt;=$D55,AK$3+6&gt;=$C55),IF(AND($D55&gt;=AK$3,$D55&lt;=AK$3+6),2,1),""))</f>
        <v>1</v>
      </c>
      <c r="AL55" s="29" t="n">
        <f aca="false">IF(OR($C55="",$D55=""),"",IF(AND(AL$3&lt;=$D55,AL$3+6&gt;=$C55),IF(AND($D55&gt;=AL$3,$D55&lt;=AL$3+6),2,1),""))</f>
        <v>1</v>
      </c>
      <c r="AM55" s="29" t="n">
        <f aca="false">IF(OR($C55="",$D55=""),"",IF(AND(AM$3&lt;=$D55,AM$3+6&gt;=$C55),IF(AND($D55&gt;=AM$3,$D55&lt;=AM$3+6),2,1),""))</f>
        <v>1</v>
      </c>
      <c r="AN55" s="29" t="n">
        <f aca="false">IF(OR($C55="",$D55=""),"",IF(AND(AN$3&lt;=$D55,AN$3+6&gt;=$C55),IF(AND($D55&gt;=AN$3,$D55&lt;=AN$3+6),2,1),""))</f>
        <v>1</v>
      </c>
      <c r="AO55" s="29" t="n">
        <f aca="false">IF(OR($C55="",$D55=""),"",IF(AND(AO$3&lt;=$D55,AO$3+6&gt;=$C55),IF(AND($D55&gt;=AO$3,$D55&lt;=AO$3+6),2,1),""))</f>
        <v>1</v>
      </c>
      <c r="AP55" s="29" t="n">
        <f aca="false">IF(OR($C55="",$D55=""),"",IF(AND(AP$3&lt;=$D55,AP$3+6&gt;=$C55),IF(AND($D55&gt;=AP$3,$D55&lt;=AP$3+6),2,1),""))</f>
        <v>1</v>
      </c>
      <c r="AQ55" s="29" t="n">
        <f aca="false">IF(OR($C55="",$D55=""),"",IF(AND(AQ$3&lt;=$D55,AQ$3+6&gt;=$C55),IF(AND($D55&gt;=AQ$3,$D55&lt;=AQ$3+6),2,1),""))</f>
        <v>1</v>
      </c>
      <c r="AR55" s="29" t="n">
        <f aca="false">IF(OR($C55="",$D55=""),"",IF(AND(AR$3&lt;=$D55,AR$3+6&gt;=$C55),IF(AND($D55&gt;=AR$3,$D55&lt;=AR$3+6),2,1),""))</f>
        <v>1</v>
      </c>
      <c r="AS55" s="29" t="n">
        <f aca="false">IF(OR($C55="",$D55=""),"",IF(AND(AS$3&lt;=$D55,AS$3+6&gt;=$C55),IF(AND($D55&gt;=AS$3,$D55&lt;=AS$3+6),2,1),""))</f>
        <v>1</v>
      </c>
      <c r="AT55" s="29" t="n">
        <f aca="false">IF(OR($C55="",$D55=""),"",IF(AND(AT$3&lt;=$D55,AT$3+6&gt;=$C55),IF(AND($D55&gt;=AT$3,$D55&lt;=AT$3+6),2,1),""))</f>
        <v>1</v>
      </c>
      <c r="AU55" s="29" t="n">
        <f aca="false">IF(OR($C55="",$D55=""),"",IF(AND(AU$3&lt;=$D55,AU$3+6&gt;=$C55),IF(AND($D55&gt;=AU$3,$D55&lt;=AU$3+6),2,1),""))</f>
        <v>1</v>
      </c>
      <c r="AV55" s="29" t="n">
        <f aca="false">IF(OR($C55="",$D55=""),"",IF(AND(AV$3&lt;=$D55,AV$3+6&gt;=$C55),IF(AND($D55&gt;=AV$3,$D55&lt;=AV$3+6),2,1),""))</f>
        <v>1</v>
      </c>
      <c r="AW55" s="29" t="n">
        <f aca="false">IF(OR($C55="",$D55=""),"",IF(AND(AW$3&lt;=$D55,AW$3+6&gt;=$C55),IF(AND($D55&gt;=AW$3,$D55&lt;=AW$3+6),2,1),""))</f>
        <v>1</v>
      </c>
      <c r="AX55" s="29" t="n">
        <f aca="false">IF(OR($C55="",$D55=""),"",IF(AND(AX$3&lt;=$D55,AX$3+6&gt;=$C55),IF(AND($D55&gt;=AX$3,$D55&lt;=AX$3+6),2,1),""))</f>
        <v>1</v>
      </c>
      <c r="AY55" s="29" t="n">
        <f aca="false">IF(OR($C55="",$D55=""),"",IF(AND(AY$3&lt;=$D55,AY$3+6&gt;=$C55),IF(AND($D55&gt;=AY$3,$D55&lt;=AY$3+6),2,1),""))</f>
        <v>1</v>
      </c>
      <c r="AZ55" s="29" t="n">
        <f aca="false">IF(OR($C55="",$D55=""),"",IF(AND(AZ$3&lt;=$D55,AZ$3+6&gt;=$C55),IF(AND($D55&gt;=AZ$3,$D55&lt;=AZ$3+6),2,1),""))</f>
        <v>1</v>
      </c>
      <c r="BA55" s="29" t="n">
        <f aca="false">IF(OR($C55="",$D55=""),"",IF(AND(BA$3&lt;=$D55,BA$3+6&gt;=$C55),IF(AND($D55&gt;=BA$3,$D55&lt;=BA$3+6),2,1),""))</f>
        <v>1</v>
      </c>
      <c r="BB55" s="29" t="n">
        <f aca="false">IF(OR($C55="",$D55=""),"",IF(AND(BB$3&lt;=$D55,BB$3+6&gt;=$C55),IF(AND($D55&gt;=BB$3,$D55&lt;=BB$3+6),2,1),""))</f>
        <v>1</v>
      </c>
      <c r="BC55" s="29" t="n">
        <f aca="false">IF(OR($C55="",$D55=""),"",IF(AND(BC$3&lt;=$D55,BC$3+6&gt;=$C55),IF(AND($D55&gt;=BC$3,$D55&lt;=BC$3+6),2,1),""))</f>
        <v>1</v>
      </c>
      <c r="BD55" s="29" t="n">
        <f aca="false">IF(OR($C55="",$D55=""),"",IF(AND(BD$3&lt;=$D55,BD$3+6&gt;=$C55),IF(AND($D55&gt;=BD$3,$D55&lt;=BD$3+6),2,1),""))</f>
        <v>1</v>
      </c>
      <c r="BE55" s="29" t="n">
        <f aca="false">IF(OR($C55="",$D55=""),"",IF(AND(BE$3&lt;=$D55,BE$3+6&gt;=$C55),IF(AND($D55&gt;=BE$3,$D55&lt;=BE$3+6),2,1),""))</f>
        <v>2</v>
      </c>
      <c r="BF55" s="29" t="str">
        <f aca="false">IF(OR($C55="",$D55=""),"",IF(AND(BF$3&lt;=$D55,BF$3+6&gt;=$C55),IF(AND($D55&gt;=BF$3,$D55&lt;=BF$3+6),2,1),""))</f>
        <v/>
      </c>
    </row>
    <row r="56" customFormat="false" ht="15" hidden="false" customHeight="true" outlineLevel="0" collapsed="false">
      <c r="A56" s="16" t="s">
        <v>376</v>
      </c>
      <c r="B56" s="27" t="str">
        <f aca="false">IFERROR(INDEX(Plan!$C$2:$C$400,MATCH($A56,Plan!$A$2:$A$400,0)),"")</f>
        <v>SRE and incident agents at L1–L3</v>
      </c>
      <c r="C56" s="28" t="n">
        <f aca="false">IFERROR(INDEX(Plan!$I$2:$I$400,MATCH($A56,Plan!$A$2:$A$400,0)),"")</f>
        <v>46545</v>
      </c>
      <c r="D56" s="28" t="n">
        <f aca="false">IFERROR(INDEX(Plan!$J$2:$J$400,MATCH($A56,Plan!$A$2:$A$400,0)),"")</f>
        <v>46626</v>
      </c>
      <c r="E56" s="29" t="str">
        <f aca="false">IF(OR($C56="",$D56=""),"",IF(AND(E$3&lt;=$D56,E$3+6&gt;=$C56),IF(AND($D56&gt;=E$3,$D56&lt;=E$3+6),2,1),""))</f>
        <v/>
      </c>
      <c r="F56" s="29" t="str">
        <f aca="false">IF(OR($C56="",$D56=""),"",IF(AND(F$3&lt;=$D56,F$3+6&gt;=$C56),IF(AND($D56&gt;=F$3,$D56&lt;=F$3+6),2,1),""))</f>
        <v/>
      </c>
      <c r="G56" s="29" t="str">
        <f aca="false">IF(OR($C56="",$D56=""),"",IF(AND(G$3&lt;=$D56,G$3+6&gt;=$C56),IF(AND($D56&gt;=G$3,$D56&lt;=G$3+6),2,1),""))</f>
        <v/>
      </c>
      <c r="H56" s="29" t="str">
        <f aca="false">IF(OR($C56="",$D56=""),"",IF(AND(H$3&lt;=$D56,H$3+6&gt;=$C56),IF(AND($D56&gt;=H$3,$D56&lt;=H$3+6),2,1),""))</f>
        <v/>
      </c>
      <c r="I56" s="29" t="str">
        <f aca="false">IF(OR($C56="",$D56=""),"",IF(AND(I$3&lt;=$D56,I$3+6&gt;=$C56),IF(AND($D56&gt;=I$3,$D56&lt;=I$3+6),2,1),""))</f>
        <v/>
      </c>
      <c r="J56" s="29" t="str">
        <f aca="false">IF(OR($C56="",$D56=""),"",IF(AND(J$3&lt;=$D56,J$3+6&gt;=$C56),IF(AND($D56&gt;=J$3,$D56&lt;=J$3+6),2,1),""))</f>
        <v/>
      </c>
      <c r="K56" s="29" t="str">
        <f aca="false">IF(OR($C56="",$D56=""),"",IF(AND(K$3&lt;=$D56,K$3+6&gt;=$C56),IF(AND($D56&gt;=K$3,$D56&lt;=K$3+6),2,1),""))</f>
        <v/>
      </c>
      <c r="L56" s="29" t="str">
        <f aca="false">IF(OR($C56="",$D56=""),"",IF(AND(L$3&lt;=$D56,L$3+6&gt;=$C56),IF(AND($D56&gt;=L$3,$D56&lt;=L$3+6),2,1),""))</f>
        <v/>
      </c>
      <c r="M56" s="29" t="str">
        <f aca="false">IF(OR($C56="",$D56=""),"",IF(AND(M$3&lt;=$D56,M$3+6&gt;=$C56),IF(AND($D56&gt;=M$3,$D56&lt;=M$3+6),2,1),""))</f>
        <v/>
      </c>
      <c r="N56" s="29" t="str">
        <f aca="false">IF(OR($C56="",$D56=""),"",IF(AND(N$3&lt;=$D56,N$3+6&gt;=$C56),IF(AND($D56&gt;=N$3,$D56&lt;=N$3+6),2,1),""))</f>
        <v/>
      </c>
      <c r="O56" s="29" t="str">
        <f aca="false">IF(OR($C56="",$D56=""),"",IF(AND(O$3&lt;=$D56,O$3+6&gt;=$C56),IF(AND($D56&gt;=O$3,$D56&lt;=O$3+6),2,1),""))</f>
        <v/>
      </c>
      <c r="P56" s="29" t="str">
        <f aca="false">IF(OR($C56="",$D56=""),"",IF(AND(P$3&lt;=$D56,P$3+6&gt;=$C56),IF(AND($D56&gt;=P$3,$D56&lt;=P$3+6),2,1),""))</f>
        <v/>
      </c>
      <c r="Q56" s="29" t="str">
        <f aca="false">IF(OR($C56="",$D56=""),"",IF(AND(Q$3&lt;=$D56,Q$3+6&gt;=$C56),IF(AND($D56&gt;=Q$3,$D56&lt;=Q$3+6),2,1),""))</f>
        <v/>
      </c>
      <c r="R56" s="29" t="str">
        <f aca="false">IF(OR($C56="",$D56=""),"",IF(AND(R$3&lt;=$D56,R$3+6&gt;=$C56),IF(AND($D56&gt;=R$3,$D56&lt;=R$3+6),2,1),""))</f>
        <v/>
      </c>
      <c r="S56" s="29" t="str">
        <f aca="false">IF(OR($C56="",$D56=""),"",IF(AND(S$3&lt;=$D56,S$3+6&gt;=$C56),IF(AND($D56&gt;=S$3,$D56&lt;=S$3+6),2,1),""))</f>
        <v/>
      </c>
      <c r="T56" s="29" t="str">
        <f aca="false">IF(OR($C56="",$D56=""),"",IF(AND(T$3&lt;=$D56,T$3+6&gt;=$C56),IF(AND($D56&gt;=T$3,$D56&lt;=T$3+6),2,1),""))</f>
        <v/>
      </c>
      <c r="U56" s="29" t="str">
        <f aca="false">IF(OR($C56="",$D56=""),"",IF(AND(U$3&lt;=$D56,U$3+6&gt;=$C56),IF(AND($D56&gt;=U$3,$D56&lt;=U$3+6),2,1),""))</f>
        <v/>
      </c>
      <c r="V56" s="29" t="str">
        <f aca="false">IF(OR($C56="",$D56=""),"",IF(AND(V$3&lt;=$D56,V$3+6&gt;=$C56),IF(AND($D56&gt;=V$3,$D56&lt;=V$3+6),2,1),""))</f>
        <v/>
      </c>
      <c r="W56" s="29" t="str">
        <f aca="false">IF(OR($C56="",$D56=""),"",IF(AND(W$3&lt;=$D56,W$3+6&gt;=$C56),IF(AND($D56&gt;=W$3,$D56&lt;=W$3+6),2,1),""))</f>
        <v/>
      </c>
      <c r="X56" s="29" t="str">
        <f aca="false">IF(OR($C56="",$D56=""),"",IF(AND(X$3&lt;=$D56,X$3+6&gt;=$C56),IF(AND($D56&gt;=X$3,$D56&lt;=X$3+6),2,1),""))</f>
        <v/>
      </c>
      <c r="Y56" s="29" t="str">
        <f aca="false">IF(OR($C56="",$D56=""),"",IF(AND(Y$3&lt;=$D56,Y$3+6&gt;=$C56),IF(AND($D56&gt;=Y$3,$D56&lt;=Y$3+6),2,1),""))</f>
        <v/>
      </c>
      <c r="Z56" s="29" t="str">
        <f aca="false">IF(OR($C56="",$D56=""),"",IF(AND(Z$3&lt;=$D56,Z$3+6&gt;=$C56),IF(AND($D56&gt;=Z$3,$D56&lt;=Z$3+6),2,1),""))</f>
        <v/>
      </c>
      <c r="AA56" s="29" t="str">
        <f aca="false">IF(OR($C56="",$D56=""),"",IF(AND(AA$3&lt;=$D56,AA$3+6&gt;=$C56),IF(AND($D56&gt;=AA$3,$D56&lt;=AA$3+6),2,1),""))</f>
        <v/>
      </c>
      <c r="AB56" s="29" t="str">
        <f aca="false">IF(OR($C56="",$D56=""),"",IF(AND(AB$3&lt;=$D56,AB$3+6&gt;=$C56),IF(AND($D56&gt;=AB$3,$D56&lt;=AB$3+6),2,1),""))</f>
        <v/>
      </c>
      <c r="AC56" s="29" t="str">
        <f aca="false">IF(OR($C56="",$D56=""),"",IF(AND(AC$3&lt;=$D56,AC$3+6&gt;=$C56),IF(AND($D56&gt;=AC$3,$D56&lt;=AC$3+6),2,1),""))</f>
        <v/>
      </c>
      <c r="AD56" s="29" t="str">
        <f aca="false">IF(OR($C56="",$D56=""),"",IF(AND(AD$3&lt;=$D56,AD$3+6&gt;=$C56),IF(AND($D56&gt;=AD$3,$D56&lt;=AD$3+6),2,1),""))</f>
        <v/>
      </c>
      <c r="AE56" s="29" t="str">
        <f aca="false">IF(OR($C56="",$D56=""),"",IF(AND(AE$3&lt;=$D56,AE$3+6&gt;=$C56),IF(AND($D56&gt;=AE$3,$D56&lt;=AE$3+6),2,1),""))</f>
        <v/>
      </c>
      <c r="AF56" s="29" t="str">
        <f aca="false">IF(OR($C56="",$D56=""),"",IF(AND(AF$3&lt;=$D56,AF$3+6&gt;=$C56),IF(AND($D56&gt;=AF$3,$D56&lt;=AF$3+6),2,1),""))</f>
        <v/>
      </c>
      <c r="AG56" s="29" t="str">
        <f aca="false">IF(OR($C56="",$D56=""),"",IF(AND(AG$3&lt;=$D56,AG$3+6&gt;=$C56),IF(AND($D56&gt;=AG$3,$D56&lt;=AG$3+6),2,1),""))</f>
        <v/>
      </c>
      <c r="AH56" s="29" t="str">
        <f aca="false">IF(OR($C56="",$D56=""),"",IF(AND(AH$3&lt;=$D56,AH$3+6&gt;=$C56),IF(AND($D56&gt;=AH$3,$D56&lt;=AH$3+6),2,1),""))</f>
        <v/>
      </c>
      <c r="AI56" s="29" t="str">
        <f aca="false">IF(OR($C56="",$D56=""),"",IF(AND(AI$3&lt;=$D56,AI$3+6&gt;=$C56),IF(AND($D56&gt;=AI$3,$D56&lt;=AI$3+6),2,1),""))</f>
        <v/>
      </c>
      <c r="AJ56" s="29" t="str">
        <f aca="false">IF(OR($C56="",$D56=""),"",IF(AND(AJ$3&lt;=$D56,AJ$3+6&gt;=$C56),IF(AND($D56&gt;=AJ$3,$D56&lt;=AJ$3+6),2,1),""))</f>
        <v/>
      </c>
      <c r="AK56" s="29" t="n">
        <f aca="false">IF(OR($C56="",$D56=""),"",IF(AND(AK$3&lt;=$D56,AK$3+6&gt;=$C56),IF(AND($D56&gt;=AK$3,$D56&lt;=AK$3+6),2,1),""))</f>
        <v>1</v>
      </c>
      <c r="AL56" s="29" t="n">
        <f aca="false">IF(OR($C56="",$D56=""),"",IF(AND(AL$3&lt;=$D56,AL$3+6&gt;=$C56),IF(AND($D56&gt;=AL$3,$D56&lt;=AL$3+6),2,1),""))</f>
        <v>1</v>
      </c>
      <c r="AM56" s="29" t="n">
        <f aca="false">IF(OR($C56="",$D56=""),"",IF(AND(AM$3&lt;=$D56,AM$3+6&gt;=$C56),IF(AND($D56&gt;=AM$3,$D56&lt;=AM$3+6),2,1),""))</f>
        <v>1</v>
      </c>
      <c r="AN56" s="29" t="n">
        <f aca="false">IF(OR($C56="",$D56=""),"",IF(AND(AN$3&lt;=$D56,AN$3+6&gt;=$C56),IF(AND($D56&gt;=AN$3,$D56&lt;=AN$3+6),2,1),""))</f>
        <v>1</v>
      </c>
      <c r="AO56" s="29" t="n">
        <f aca="false">IF(OR($C56="",$D56=""),"",IF(AND(AO$3&lt;=$D56,AO$3+6&gt;=$C56),IF(AND($D56&gt;=AO$3,$D56&lt;=AO$3+6),2,1),""))</f>
        <v>1</v>
      </c>
      <c r="AP56" s="29" t="n">
        <f aca="false">IF(OR($C56="",$D56=""),"",IF(AND(AP$3&lt;=$D56,AP$3+6&gt;=$C56),IF(AND($D56&gt;=AP$3,$D56&lt;=AP$3+6),2,1),""))</f>
        <v>1</v>
      </c>
      <c r="AQ56" s="29" t="n">
        <f aca="false">IF(OR($C56="",$D56=""),"",IF(AND(AQ$3&lt;=$D56,AQ$3+6&gt;=$C56),IF(AND($D56&gt;=AQ$3,$D56&lt;=AQ$3+6),2,1),""))</f>
        <v>1</v>
      </c>
      <c r="AR56" s="29" t="n">
        <f aca="false">IF(OR($C56="",$D56=""),"",IF(AND(AR$3&lt;=$D56,AR$3+6&gt;=$C56),IF(AND($D56&gt;=AR$3,$D56&lt;=AR$3+6),2,1),""))</f>
        <v>1</v>
      </c>
      <c r="AS56" s="29" t="n">
        <f aca="false">IF(OR($C56="",$D56=""),"",IF(AND(AS$3&lt;=$D56,AS$3+6&gt;=$C56),IF(AND($D56&gt;=AS$3,$D56&lt;=AS$3+6),2,1),""))</f>
        <v>1</v>
      </c>
      <c r="AT56" s="29" t="n">
        <f aca="false">IF(OR($C56="",$D56=""),"",IF(AND(AT$3&lt;=$D56,AT$3+6&gt;=$C56),IF(AND($D56&gt;=AT$3,$D56&lt;=AT$3+6),2,1),""))</f>
        <v>1</v>
      </c>
      <c r="AU56" s="29" t="n">
        <f aca="false">IF(OR($C56="",$D56=""),"",IF(AND(AU$3&lt;=$D56,AU$3+6&gt;=$C56),IF(AND($D56&gt;=AU$3,$D56&lt;=AU$3+6),2,1),""))</f>
        <v>1</v>
      </c>
      <c r="AV56" s="29" t="n">
        <f aca="false">IF(OR($C56="",$D56=""),"",IF(AND(AV$3&lt;=$D56,AV$3+6&gt;=$C56),IF(AND($D56&gt;=AV$3,$D56&lt;=AV$3+6),2,1),""))</f>
        <v>2</v>
      </c>
      <c r="AW56" s="29" t="str">
        <f aca="false">IF(OR($C56="",$D56=""),"",IF(AND(AW$3&lt;=$D56,AW$3+6&gt;=$C56),IF(AND($D56&gt;=AW$3,$D56&lt;=AW$3+6),2,1),""))</f>
        <v/>
      </c>
      <c r="AX56" s="29" t="str">
        <f aca="false">IF(OR($C56="",$D56=""),"",IF(AND(AX$3&lt;=$D56,AX$3+6&gt;=$C56),IF(AND($D56&gt;=AX$3,$D56&lt;=AX$3+6),2,1),""))</f>
        <v/>
      </c>
      <c r="AY56" s="29" t="str">
        <f aca="false">IF(OR($C56="",$D56=""),"",IF(AND(AY$3&lt;=$D56,AY$3+6&gt;=$C56),IF(AND($D56&gt;=AY$3,$D56&lt;=AY$3+6),2,1),""))</f>
        <v/>
      </c>
      <c r="AZ56" s="29" t="str">
        <f aca="false">IF(OR($C56="",$D56=""),"",IF(AND(AZ$3&lt;=$D56,AZ$3+6&gt;=$C56),IF(AND($D56&gt;=AZ$3,$D56&lt;=AZ$3+6),2,1),""))</f>
        <v/>
      </c>
      <c r="BA56" s="29" t="str">
        <f aca="false">IF(OR($C56="",$D56=""),"",IF(AND(BA$3&lt;=$D56,BA$3+6&gt;=$C56),IF(AND($D56&gt;=BA$3,$D56&lt;=BA$3+6),2,1),""))</f>
        <v/>
      </c>
      <c r="BB56" s="29" t="str">
        <f aca="false">IF(OR($C56="",$D56=""),"",IF(AND(BB$3&lt;=$D56,BB$3+6&gt;=$C56),IF(AND($D56&gt;=BB$3,$D56&lt;=BB$3+6),2,1),""))</f>
        <v/>
      </c>
      <c r="BC56" s="29" t="str">
        <f aca="false">IF(OR($C56="",$D56=""),"",IF(AND(BC$3&lt;=$D56,BC$3+6&gt;=$C56),IF(AND($D56&gt;=BC$3,$D56&lt;=BC$3+6),2,1),""))</f>
        <v/>
      </c>
      <c r="BD56" s="29" t="str">
        <f aca="false">IF(OR($C56="",$D56=""),"",IF(AND(BD$3&lt;=$D56,BD$3+6&gt;=$C56),IF(AND($D56&gt;=BD$3,$D56&lt;=BD$3+6),2,1),""))</f>
        <v/>
      </c>
      <c r="BE56" s="29" t="str">
        <f aca="false">IF(OR($C56="",$D56=""),"",IF(AND(BE$3&lt;=$D56,BE$3+6&gt;=$C56),IF(AND($D56&gt;=BE$3,$D56&lt;=BE$3+6),2,1),""))</f>
        <v/>
      </c>
      <c r="BF56" s="29" t="str">
        <f aca="false">IF(OR($C56="",$D56=""),"",IF(AND(BF$3&lt;=$D56,BF$3+6&gt;=$C56),IF(AND($D56&gt;=BF$3,$D56&lt;=BF$3+6),2,1),""))</f>
        <v/>
      </c>
    </row>
    <row r="57" customFormat="false" ht="15" hidden="false" customHeight="true" outlineLevel="0" collapsed="false">
      <c r="A57" s="16" t="s">
        <v>382</v>
      </c>
      <c r="B57" s="27" t="str">
        <f aca="false">IFERROR(INDEX(Plan!$C$2:$C$400,MATCH($A57,Plan!$A$2:$A$400,0)),"")</f>
        <v>ROI review on measured numbers</v>
      </c>
      <c r="C57" s="28" t="n">
        <f aca="false">IFERROR(INDEX(Plan!$I$2:$I$400,MATCH($A57,Plan!$A$2:$A$400,0)),"")</f>
        <v>46678</v>
      </c>
      <c r="D57" s="28" t="n">
        <f aca="false">IFERROR(INDEX(Plan!$J$2:$J$400,MATCH($A57,Plan!$A$2:$A$400,0)),"")</f>
        <v>46689</v>
      </c>
      <c r="E57" s="29" t="str">
        <f aca="false">IF(OR($C57="",$D57=""),"",IF(AND(E$3&lt;=$D57,E$3+6&gt;=$C57),IF(AND($D57&gt;=E$3,$D57&lt;=E$3+6),2,1),""))</f>
        <v/>
      </c>
      <c r="F57" s="29" t="str">
        <f aca="false">IF(OR($C57="",$D57=""),"",IF(AND(F$3&lt;=$D57,F$3+6&gt;=$C57),IF(AND($D57&gt;=F$3,$D57&lt;=F$3+6),2,1),""))</f>
        <v/>
      </c>
      <c r="G57" s="29" t="str">
        <f aca="false">IF(OR($C57="",$D57=""),"",IF(AND(G$3&lt;=$D57,G$3+6&gt;=$C57),IF(AND($D57&gt;=G$3,$D57&lt;=G$3+6),2,1),""))</f>
        <v/>
      </c>
      <c r="H57" s="29" t="str">
        <f aca="false">IF(OR($C57="",$D57=""),"",IF(AND(H$3&lt;=$D57,H$3+6&gt;=$C57),IF(AND($D57&gt;=H$3,$D57&lt;=H$3+6),2,1),""))</f>
        <v/>
      </c>
      <c r="I57" s="29" t="str">
        <f aca="false">IF(OR($C57="",$D57=""),"",IF(AND(I$3&lt;=$D57,I$3+6&gt;=$C57),IF(AND($D57&gt;=I$3,$D57&lt;=I$3+6),2,1),""))</f>
        <v/>
      </c>
      <c r="J57" s="29" t="str">
        <f aca="false">IF(OR($C57="",$D57=""),"",IF(AND(J$3&lt;=$D57,J$3+6&gt;=$C57),IF(AND($D57&gt;=J$3,$D57&lt;=J$3+6),2,1),""))</f>
        <v/>
      </c>
      <c r="K57" s="29" t="str">
        <f aca="false">IF(OR($C57="",$D57=""),"",IF(AND(K$3&lt;=$D57,K$3+6&gt;=$C57),IF(AND($D57&gt;=K$3,$D57&lt;=K$3+6),2,1),""))</f>
        <v/>
      </c>
      <c r="L57" s="29" t="str">
        <f aca="false">IF(OR($C57="",$D57=""),"",IF(AND(L$3&lt;=$D57,L$3+6&gt;=$C57),IF(AND($D57&gt;=L$3,$D57&lt;=L$3+6),2,1),""))</f>
        <v/>
      </c>
      <c r="M57" s="29" t="str">
        <f aca="false">IF(OR($C57="",$D57=""),"",IF(AND(M$3&lt;=$D57,M$3+6&gt;=$C57),IF(AND($D57&gt;=M$3,$D57&lt;=M$3+6),2,1),""))</f>
        <v/>
      </c>
      <c r="N57" s="29" t="str">
        <f aca="false">IF(OR($C57="",$D57=""),"",IF(AND(N$3&lt;=$D57,N$3+6&gt;=$C57),IF(AND($D57&gt;=N$3,$D57&lt;=N$3+6),2,1),""))</f>
        <v/>
      </c>
      <c r="O57" s="29" t="str">
        <f aca="false">IF(OR($C57="",$D57=""),"",IF(AND(O$3&lt;=$D57,O$3+6&gt;=$C57),IF(AND($D57&gt;=O$3,$D57&lt;=O$3+6),2,1),""))</f>
        <v/>
      </c>
      <c r="P57" s="29" t="str">
        <f aca="false">IF(OR($C57="",$D57=""),"",IF(AND(P$3&lt;=$D57,P$3+6&gt;=$C57),IF(AND($D57&gt;=P$3,$D57&lt;=P$3+6),2,1),""))</f>
        <v/>
      </c>
      <c r="Q57" s="29" t="str">
        <f aca="false">IF(OR($C57="",$D57=""),"",IF(AND(Q$3&lt;=$D57,Q$3+6&gt;=$C57),IF(AND($D57&gt;=Q$3,$D57&lt;=Q$3+6),2,1),""))</f>
        <v/>
      </c>
      <c r="R57" s="29" t="str">
        <f aca="false">IF(OR($C57="",$D57=""),"",IF(AND(R$3&lt;=$D57,R$3+6&gt;=$C57),IF(AND($D57&gt;=R$3,$D57&lt;=R$3+6),2,1),""))</f>
        <v/>
      </c>
      <c r="S57" s="29" t="str">
        <f aca="false">IF(OR($C57="",$D57=""),"",IF(AND(S$3&lt;=$D57,S$3+6&gt;=$C57),IF(AND($D57&gt;=S$3,$D57&lt;=S$3+6),2,1),""))</f>
        <v/>
      </c>
      <c r="T57" s="29" t="str">
        <f aca="false">IF(OR($C57="",$D57=""),"",IF(AND(T$3&lt;=$D57,T$3+6&gt;=$C57),IF(AND($D57&gt;=T$3,$D57&lt;=T$3+6),2,1),""))</f>
        <v/>
      </c>
      <c r="U57" s="29" t="str">
        <f aca="false">IF(OR($C57="",$D57=""),"",IF(AND(U$3&lt;=$D57,U$3+6&gt;=$C57),IF(AND($D57&gt;=U$3,$D57&lt;=U$3+6),2,1),""))</f>
        <v/>
      </c>
      <c r="V57" s="29" t="str">
        <f aca="false">IF(OR($C57="",$D57=""),"",IF(AND(V$3&lt;=$D57,V$3+6&gt;=$C57),IF(AND($D57&gt;=V$3,$D57&lt;=V$3+6),2,1),""))</f>
        <v/>
      </c>
      <c r="W57" s="29" t="str">
        <f aca="false">IF(OR($C57="",$D57=""),"",IF(AND(W$3&lt;=$D57,W$3+6&gt;=$C57),IF(AND($D57&gt;=W$3,$D57&lt;=W$3+6),2,1),""))</f>
        <v/>
      </c>
      <c r="X57" s="29" t="str">
        <f aca="false">IF(OR($C57="",$D57=""),"",IF(AND(X$3&lt;=$D57,X$3+6&gt;=$C57),IF(AND($D57&gt;=X$3,$D57&lt;=X$3+6),2,1),""))</f>
        <v/>
      </c>
      <c r="Y57" s="29" t="str">
        <f aca="false">IF(OR($C57="",$D57=""),"",IF(AND(Y$3&lt;=$D57,Y$3+6&gt;=$C57),IF(AND($D57&gt;=Y$3,$D57&lt;=Y$3+6),2,1),""))</f>
        <v/>
      </c>
      <c r="Z57" s="29" t="str">
        <f aca="false">IF(OR($C57="",$D57=""),"",IF(AND(Z$3&lt;=$D57,Z$3+6&gt;=$C57),IF(AND($D57&gt;=Z$3,$D57&lt;=Z$3+6),2,1),""))</f>
        <v/>
      </c>
      <c r="AA57" s="29" t="str">
        <f aca="false">IF(OR($C57="",$D57=""),"",IF(AND(AA$3&lt;=$D57,AA$3+6&gt;=$C57),IF(AND($D57&gt;=AA$3,$D57&lt;=AA$3+6),2,1),""))</f>
        <v/>
      </c>
      <c r="AB57" s="29" t="str">
        <f aca="false">IF(OR($C57="",$D57=""),"",IF(AND(AB$3&lt;=$D57,AB$3+6&gt;=$C57),IF(AND($D57&gt;=AB$3,$D57&lt;=AB$3+6),2,1),""))</f>
        <v/>
      </c>
      <c r="AC57" s="29" t="str">
        <f aca="false">IF(OR($C57="",$D57=""),"",IF(AND(AC$3&lt;=$D57,AC$3+6&gt;=$C57),IF(AND($D57&gt;=AC$3,$D57&lt;=AC$3+6),2,1),""))</f>
        <v/>
      </c>
      <c r="AD57" s="29" t="str">
        <f aca="false">IF(OR($C57="",$D57=""),"",IF(AND(AD$3&lt;=$D57,AD$3+6&gt;=$C57),IF(AND($D57&gt;=AD$3,$D57&lt;=AD$3+6),2,1),""))</f>
        <v/>
      </c>
      <c r="AE57" s="29" t="str">
        <f aca="false">IF(OR($C57="",$D57=""),"",IF(AND(AE$3&lt;=$D57,AE$3+6&gt;=$C57),IF(AND($D57&gt;=AE$3,$D57&lt;=AE$3+6),2,1),""))</f>
        <v/>
      </c>
      <c r="AF57" s="29" t="str">
        <f aca="false">IF(OR($C57="",$D57=""),"",IF(AND(AF$3&lt;=$D57,AF$3+6&gt;=$C57),IF(AND($D57&gt;=AF$3,$D57&lt;=AF$3+6),2,1),""))</f>
        <v/>
      </c>
      <c r="AG57" s="29" t="str">
        <f aca="false">IF(OR($C57="",$D57=""),"",IF(AND(AG$3&lt;=$D57,AG$3+6&gt;=$C57),IF(AND($D57&gt;=AG$3,$D57&lt;=AG$3+6),2,1),""))</f>
        <v/>
      </c>
      <c r="AH57" s="29" t="str">
        <f aca="false">IF(OR($C57="",$D57=""),"",IF(AND(AH$3&lt;=$D57,AH$3+6&gt;=$C57),IF(AND($D57&gt;=AH$3,$D57&lt;=AH$3+6),2,1),""))</f>
        <v/>
      </c>
      <c r="AI57" s="29" t="str">
        <f aca="false">IF(OR($C57="",$D57=""),"",IF(AND(AI$3&lt;=$D57,AI$3+6&gt;=$C57),IF(AND($D57&gt;=AI$3,$D57&lt;=AI$3+6),2,1),""))</f>
        <v/>
      </c>
      <c r="AJ57" s="29" t="str">
        <f aca="false">IF(OR($C57="",$D57=""),"",IF(AND(AJ$3&lt;=$D57,AJ$3+6&gt;=$C57),IF(AND($D57&gt;=AJ$3,$D57&lt;=AJ$3+6),2,1),""))</f>
        <v/>
      </c>
      <c r="AK57" s="29" t="str">
        <f aca="false">IF(OR($C57="",$D57=""),"",IF(AND(AK$3&lt;=$D57,AK$3+6&gt;=$C57),IF(AND($D57&gt;=AK$3,$D57&lt;=AK$3+6),2,1),""))</f>
        <v/>
      </c>
      <c r="AL57" s="29" t="str">
        <f aca="false">IF(OR($C57="",$D57=""),"",IF(AND(AL$3&lt;=$D57,AL$3+6&gt;=$C57),IF(AND($D57&gt;=AL$3,$D57&lt;=AL$3+6),2,1),""))</f>
        <v/>
      </c>
      <c r="AM57" s="29" t="str">
        <f aca="false">IF(OR($C57="",$D57=""),"",IF(AND(AM$3&lt;=$D57,AM$3+6&gt;=$C57),IF(AND($D57&gt;=AM$3,$D57&lt;=AM$3+6),2,1),""))</f>
        <v/>
      </c>
      <c r="AN57" s="29" t="str">
        <f aca="false">IF(OR($C57="",$D57=""),"",IF(AND(AN$3&lt;=$D57,AN$3+6&gt;=$C57),IF(AND($D57&gt;=AN$3,$D57&lt;=AN$3+6),2,1),""))</f>
        <v/>
      </c>
      <c r="AO57" s="29" t="str">
        <f aca="false">IF(OR($C57="",$D57=""),"",IF(AND(AO$3&lt;=$D57,AO$3+6&gt;=$C57),IF(AND($D57&gt;=AO$3,$D57&lt;=AO$3+6),2,1),""))</f>
        <v/>
      </c>
      <c r="AP57" s="29" t="str">
        <f aca="false">IF(OR($C57="",$D57=""),"",IF(AND(AP$3&lt;=$D57,AP$3+6&gt;=$C57),IF(AND($D57&gt;=AP$3,$D57&lt;=AP$3+6),2,1),""))</f>
        <v/>
      </c>
      <c r="AQ57" s="29" t="str">
        <f aca="false">IF(OR($C57="",$D57=""),"",IF(AND(AQ$3&lt;=$D57,AQ$3+6&gt;=$C57),IF(AND($D57&gt;=AQ$3,$D57&lt;=AQ$3+6),2,1),""))</f>
        <v/>
      </c>
      <c r="AR57" s="29" t="str">
        <f aca="false">IF(OR($C57="",$D57=""),"",IF(AND(AR$3&lt;=$D57,AR$3+6&gt;=$C57),IF(AND($D57&gt;=AR$3,$D57&lt;=AR$3+6),2,1),""))</f>
        <v/>
      </c>
      <c r="AS57" s="29" t="str">
        <f aca="false">IF(OR($C57="",$D57=""),"",IF(AND(AS$3&lt;=$D57,AS$3+6&gt;=$C57),IF(AND($D57&gt;=AS$3,$D57&lt;=AS$3+6),2,1),""))</f>
        <v/>
      </c>
      <c r="AT57" s="29" t="str">
        <f aca="false">IF(OR($C57="",$D57=""),"",IF(AND(AT$3&lt;=$D57,AT$3+6&gt;=$C57),IF(AND($D57&gt;=AT$3,$D57&lt;=AT$3+6),2,1),""))</f>
        <v/>
      </c>
      <c r="AU57" s="29" t="str">
        <f aca="false">IF(OR($C57="",$D57=""),"",IF(AND(AU$3&lt;=$D57,AU$3+6&gt;=$C57),IF(AND($D57&gt;=AU$3,$D57&lt;=AU$3+6),2,1),""))</f>
        <v/>
      </c>
      <c r="AV57" s="29" t="str">
        <f aca="false">IF(OR($C57="",$D57=""),"",IF(AND(AV$3&lt;=$D57,AV$3+6&gt;=$C57),IF(AND($D57&gt;=AV$3,$D57&lt;=AV$3+6),2,1),""))</f>
        <v/>
      </c>
      <c r="AW57" s="29" t="str">
        <f aca="false">IF(OR($C57="",$D57=""),"",IF(AND(AW$3&lt;=$D57,AW$3+6&gt;=$C57),IF(AND($D57&gt;=AW$3,$D57&lt;=AW$3+6),2,1),""))</f>
        <v/>
      </c>
      <c r="AX57" s="29" t="str">
        <f aca="false">IF(OR($C57="",$D57=""),"",IF(AND(AX$3&lt;=$D57,AX$3+6&gt;=$C57),IF(AND($D57&gt;=AX$3,$D57&lt;=AX$3+6),2,1),""))</f>
        <v/>
      </c>
      <c r="AY57" s="29" t="str">
        <f aca="false">IF(OR($C57="",$D57=""),"",IF(AND(AY$3&lt;=$D57,AY$3+6&gt;=$C57),IF(AND($D57&gt;=AY$3,$D57&lt;=AY$3+6),2,1),""))</f>
        <v/>
      </c>
      <c r="AZ57" s="29" t="str">
        <f aca="false">IF(OR($C57="",$D57=""),"",IF(AND(AZ$3&lt;=$D57,AZ$3+6&gt;=$C57),IF(AND($D57&gt;=AZ$3,$D57&lt;=AZ$3+6),2,1),""))</f>
        <v/>
      </c>
      <c r="BA57" s="29" t="str">
        <f aca="false">IF(OR($C57="",$D57=""),"",IF(AND(BA$3&lt;=$D57,BA$3+6&gt;=$C57),IF(AND($D57&gt;=BA$3,$D57&lt;=BA$3+6),2,1),""))</f>
        <v/>
      </c>
      <c r="BB57" s="29" t="str">
        <f aca="false">IF(OR($C57="",$D57=""),"",IF(AND(BB$3&lt;=$D57,BB$3+6&gt;=$C57),IF(AND($D57&gt;=BB$3,$D57&lt;=BB$3+6),2,1),""))</f>
        <v/>
      </c>
      <c r="BC57" s="29" t="str">
        <f aca="false">IF(OR($C57="",$D57=""),"",IF(AND(BC$3&lt;=$D57,BC$3+6&gt;=$C57),IF(AND($D57&gt;=BC$3,$D57&lt;=BC$3+6),2,1),""))</f>
        <v/>
      </c>
      <c r="BD57" s="29" t="n">
        <f aca="false">IF(OR($C57="",$D57=""),"",IF(AND(BD$3&lt;=$D57,BD$3+6&gt;=$C57),IF(AND($D57&gt;=BD$3,$D57&lt;=BD$3+6),2,1),""))</f>
        <v>1</v>
      </c>
      <c r="BE57" s="29" t="n">
        <f aca="false">IF(OR($C57="",$D57=""),"",IF(AND(BE$3&lt;=$D57,BE$3+6&gt;=$C57),IF(AND($D57&gt;=BE$3,$D57&lt;=BE$3+6),2,1),""))</f>
        <v>2</v>
      </c>
      <c r="BF57" s="29" t="str">
        <f aca="false">IF(OR($C57="",$D57=""),"",IF(AND(BF$3&lt;=$D57,BF$3+6&gt;=$C57),IF(AND($D57&gt;=BF$3,$D57&lt;=BF$3+6),2,1),""))</f>
        <v/>
      </c>
    </row>
    <row r="58" customFormat="false" ht="15" hidden="false" customHeight="true" outlineLevel="0" collapsed="false">
      <c r="A58" s="16" t="s">
        <v>387</v>
      </c>
      <c r="B58" s="27" t="str">
        <f aca="false">IFERROR(INDEX(Plan!$C$2:$C$400,MATCH($A58,Plan!$A$2:$A$400,0)),"")</f>
        <v>12-month readout and year-two plan</v>
      </c>
      <c r="C58" s="28" t="n">
        <f aca="false">IFERROR(INDEX(Plan!$I$2:$I$400,MATCH($A58,Plan!$A$2:$A$400,0)),"")</f>
        <v>46678</v>
      </c>
      <c r="D58" s="28" t="n">
        <f aca="false">IFERROR(INDEX(Plan!$J$2:$J$400,MATCH($A58,Plan!$A$2:$A$400,0)),"")</f>
        <v>46692</v>
      </c>
      <c r="E58" s="29" t="str">
        <f aca="false">IF(OR($C58="",$D58=""),"",IF(AND(E$3&lt;=$D58,E$3+6&gt;=$C58),IF(AND($D58&gt;=E$3,$D58&lt;=E$3+6),2,1),""))</f>
        <v/>
      </c>
      <c r="F58" s="29" t="str">
        <f aca="false">IF(OR($C58="",$D58=""),"",IF(AND(F$3&lt;=$D58,F$3+6&gt;=$C58),IF(AND($D58&gt;=F$3,$D58&lt;=F$3+6),2,1),""))</f>
        <v/>
      </c>
      <c r="G58" s="29" t="str">
        <f aca="false">IF(OR($C58="",$D58=""),"",IF(AND(G$3&lt;=$D58,G$3+6&gt;=$C58),IF(AND($D58&gt;=G$3,$D58&lt;=G$3+6),2,1),""))</f>
        <v/>
      </c>
      <c r="H58" s="29" t="str">
        <f aca="false">IF(OR($C58="",$D58=""),"",IF(AND(H$3&lt;=$D58,H$3+6&gt;=$C58),IF(AND($D58&gt;=H$3,$D58&lt;=H$3+6),2,1),""))</f>
        <v/>
      </c>
      <c r="I58" s="29" t="str">
        <f aca="false">IF(OR($C58="",$D58=""),"",IF(AND(I$3&lt;=$D58,I$3+6&gt;=$C58),IF(AND($D58&gt;=I$3,$D58&lt;=I$3+6),2,1),""))</f>
        <v/>
      </c>
      <c r="J58" s="29" t="str">
        <f aca="false">IF(OR($C58="",$D58=""),"",IF(AND(J$3&lt;=$D58,J$3+6&gt;=$C58),IF(AND($D58&gt;=J$3,$D58&lt;=J$3+6),2,1),""))</f>
        <v/>
      </c>
      <c r="K58" s="29" t="str">
        <f aca="false">IF(OR($C58="",$D58=""),"",IF(AND(K$3&lt;=$D58,K$3+6&gt;=$C58),IF(AND($D58&gt;=K$3,$D58&lt;=K$3+6),2,1),""))</f>
        <v/>
      </c>
      <c r="L58" s="29" t="str">
        <f aca="false">IF(OR($C58="",$D58=""),"",IF(AND(L$3&lt;=$D58,L$3+6&gt;=$C58),IF(AND($D58&gt;=L$3,$D58&lt;=L$3+6),2,1),""))</f>
        <v/>
      </c>
      <c r="M58" s="29" t="str">
        <f aca="false">IF(OR($C58="",$D58=""),"",IF(AND(M$3&lt;=$D58,M$3+6&gt;=$C58),IF(AND($D58&gt;=M$3,$D58&lt;=M$3+6),2,1),""))</f>
        <v/>
      </c>
      <c r="N58" s="29" t="str">
        <f aca="false">IF(OR($C58="",$D58=""),"",IF(AND(N$3&lt;=$D58,N$3+6&gt;=$C58),IF(AND($D58&gt;=N$3,$D58&lt;=N$3+6),2,1),""))</f>
        <v/>
      </c>
      <c r="O58" s="29" t="str">
        <f aca="false">IF(OR($C58="",$D58=""),"",IF(AND(O$3&lt;=$D58,O$3+6&gt;=$C58),IF(AND($D58&gt;=O$3,$D58&lt;=O$3+6),2,1),""))</f>
        <v/>
      </c>
      <c r="P58" s="29" t="str">
        <f aca="false">IF(OR($C58="",$D58=""),"",IF(AND(P$3&lt;=$D58,P$3+6&gt;=$C58),IF(AND($D58&gt;=P$3,$D58&lt;=P$3+6),2,1),""))</f>
        <v/>
      </c>
      <c r="Q58" s="29" t="str">
        <f aca="false">IF(OR($C58="",$D58=""),"",IF(AND(Q$3&lt;=$D58,Q$3+6&gt;=$C58),IF(AND($D58&gt;=Q$3,$D58&lt;=Q$3+6),2,1),""))</f>
        <v/>
      </c>
      <c r="R58" s="29" t="str">
        <f aca="false">IF(OR($C58="",$D58=""),"",IF(AND(R$3&lt;=$D58,R$3+6&gt;=$C58),IF(AND($D58&gt;=R$3,$D58&lt;=R$3+6),2,1),""))</f>
        <v/>
      </c>
      <c r="S58" s="29" t="str">
        <f aca="false">IF(OR($C58="",$D58=""),"",IF(AND(S$3&lt;=$D58,S$3+6&gt;=$C58),IF(AND($D58&gt;=S$3,$D58&lt;=S$3+6),2,1),""))</f>
        <v/>
      </c>
      <c r="T58" s="29" t="str">
        <f aca="false">IF(OR($C58="",$D58=""),"",IF(AND(T$3&lt;=$D58,T$3+6&gt;=$C58),IF(AND($D58&gt;=T$3,$D58&lt;=T$3+6),2,1),""))</f>
        <v/>
      </c>
      <c r="U58" s="29" t="str">
        <f aca="false">IF(OR($C58="",$D58=""),"",IF(AND(U$3&lt;=$D58,U$3+6&gt;=$C58),IF(AND($D58&gt;=U$3,$D58&lt;=U$3+6),2,1),""))</f>
        <v/>
      </c>
      <c r="V58" s="29" t="str">
        <f aca="false">IF(OR($C58="",$D58=""),"",IF(AND(V$3&lt;=$D58,V$3+6&gt;=$C58),IF(AND($D58&gt;=V$3,$D58&lt;=V$3+6),2,1),""))</f>
        <v/>
      </c>
      <c r="W58" s="29" t="str">
        <f aca="false">IF(OR($C58="",$D58=""),"",IF(AND(W$3&lt;=$D58,W$3+6&gt;=$C58),IF(AND($D58&gt;=W$3,$D58&lt;=W$3+6),2,1),""))</f>
        <v/>
      </c>
      <c r="X58" s="29" t="str">
        <f aca="false">IF(OR($C58="",$D58=""),"",IF(AND(X$3&lt;=$D58,X$3+6&gt;=$C58),IF(AND($D58&gt;=X$3,$D58&lt;=X$3+6),2,1),""))</f>
        <v/>
      </c>
      <c r="Y58" s="29" t="str">
        <f aca="false">IF(OR($C58="",$D58=""),"",IF(AND(Y$3&lt;=$D58,Y$3+6&gt;=$C58),IF(AND($D58&gt;=Y$3,$D58&lt;=Y$3+6),2,1),""))</f>
        <v/>
      </c>
      <c r="Z58" s="29" t="str">
        <f aca="false">IF(OR($C58="",$D58=""),"",IF(AND(Z$3&lt;=$D58,Z$3+6&gt;=$C58),IF(AND($D58&gt;=Z$3,$D58&lt;=Z$3+6),2,1),""))</f>
        <v/>
      </c>
      <c r="AA58" s="29" t="str">
        <f aca="false">IF(OR($C58="",$D58=""),"",IF(AND(AA$3&lt;=$D58,AA$3+6&gt;=$C58),IF(AND($D58&gt;=AA$3,$D58&lt;=AA$3+6),2,1),""))</f>
        <v/>
      </c>
      <c r="AB58" s="29" t="str">
        <f aca="false">IF(OR($C58="",$D58=""),"",IF(AND(AB$3&lt;=$D58,AB$3+6&gt;=$C58),IF(AND($D58&gt;=AB$3,$D58&lt;=AB$3+6),2,1),""))</f>
        <v/>
      </c>
      <c r="AC58" s="29" t="str">
        <f aca="false">IF(OR($C58="",$D58=""),"",IF(AND(AC$3&lt;=$D58,AC$3+6&gt;=$C58),IF(AND($D58&gt;=AC$3,$D58&lt;=AC$3+6),2,1),""))</f>
        <v/>
      </c>
      <c r="AD58" s="29" t="str">
        <f aca="false">IF(OR($C58="",$D58=""),"",IF(AND(AD$3&lt;=$D58,AD$3+6&gt;=$C58),IF(AND($D58&gt;=AD$3,$D58&lt;=AD$3+6),2,1),""))</f>
        <v/>
      </c>
      <c r="AE58" s="29" t="str">
        <f aca="false">IF(OR($C58="",$D58=""),"",IF(AND(AE$3&lt;=$D58,AE$3+6&gt;=$C58),IF(AND($D58&gt;=AE$3,$D58&lt;=AE$3+6),2,1),""))</f>
        <v/>
      </c>
      <c r="AF58" s="29" t="str">
        <f aca="false">IF(OR($C58="",$D58=""),"",IF(AND(AF$3&lt;=$D58,AF$3+6&gt;=$C58),IF(AND($D58&gt;=AF$3,$D58&lt;=AF$3+6),2,1),""))</f>
        <v/>
      </c>
      <c r="AG58" s="29" t="str">
        <f aca="false">IF(OR($C58="",$D58=""),"",IF(AND(AG$3&lt;=$D58,AG$3+6&gt;=$C58),IF(AND($D58&gt;=AG$3,$D58&lt;=AG$3+6),2,1),""))</f>
        <v/>
      </c>
      <c r="AH58" s="29" t="str">
        <f aca="false">IF(OR($C58="",$D58=""),"",IF(AND(AH$3&lt;=$D58,AH$3+6&gt;=$C58),IF(AND($D58&gt;=AH$3,$D58&lt;=AH$3+6),2,1),""))</f>
        <v/>
      </c>
      <c r="AI58" s="29" t="str">
        <f aca="false">IF(OR($C58="",$D58=""),"",IF(AND(AI$3&lt;=$D58,AI$3+6&gt;=$C58),IF(AND($D58&gt;=AI$3,$D58&lt;=AI$3+6),2,1),""))</f>
        <v/>
      </c>
      <c r="AJ58" s="29" t="str">
        <f aca="false">IF(OR($C58="",$D58=""),"",IF(AND(AJ$3&lt;=$D58,AJ$3+6&gt;=$C58),IF(AND($D58&gt;=AJ$3,$D58&lt;=AJ$3+6),2,1),""))</f>
        <v/>
      </c>
      <c r="AK58" s="29" t="str">
        <f aca="false">IF(OR($C58="",$D58=""),"",IF(AND(AK$3&lt;=$D58,AK$3+6&gt;=$C58),IF(AND($D58&gt;=AK$3,$D58&lt;=AK$3+6),2,1),""))</f>
        <v/>
      </c>
      <c r="AL58" s="29" t="str">
        <f aca="false">IF(OR($C58="",$D58=""),"",IF(AND(AL$3&lt;=$D58,AL$3+6&gt;=$C58),IF(AND($D58&gt;=AL$3,$D58&lt;=AL$3+6),2,1),""))</f>
        <v/>
      </c>
      <c r="AM58" s="29" t="str">
        <f aca="false">IF(OR($C58="",$D58=""),"",IF(AND(AM$3&lt;=$D58,AM$3+6&gt;=$C58),IF(AND($D58&gt;=AM$3,$D58&lt;=AM$3+6),2,1),""))</f>
        <v/>
      </c>
      <c r="AN58" s="29" t="str">
        <f aca="false">IF(OR($C58="",$D58=""),"",IF(AND(AN$3&lt;=$D58,AN$3+6&gt;=$C58),IF(AND($D58&gt;=AN$3,$D58&lt;=AN$3+6),2,1),""))</f>
        <v/>
      </c>
      <c r="AO58" s="29" t="str">
        <f aca="false">IF(OR($C58="",$D58=""),"",IF(AND(AO$3&lt;=$D58,AO$3+6&gt;=$C58),IF(AND($D58&gt;=AO$3,$D58&lt;=AO$3+6),2,1),""))</f>
        <v/>
      </c>
      <c r="AP58" s="29" t="str">
        <f aca="false">IF(OR($C58="",$D58=""),"",IF(AND(AP$3&lt;=$D58,AP$3+6&gt;=$C58),IF(AND($D58&gt;=AP$3,$D58&lt;=AP$3+6),2,1),""))</f>
        <v/>
      </c>
      <c r="AQ58" s="29" t="str">
        <f aca="false">IF(OR($C58="",$D58=""),"",IF(AND(AQ$3&lt;=$D58,AQ$3+6&gt;=$C58),IF(AND($D58&gt;=AQ$3,$D58&lt;=AQ$3+6),2,1),""))</f>
        <v/>
      </c>
      <c r="AR58" s="29" t="str">
        <f aca="false">IF(OR($C58="",$D58=""),"",IF(AND(AR$3&lt;=$D58,AR$3+6&gt;=$C58),IF(AND($D58&gt;=AR$3,$D58&lt;=AR$3+6),2,1),""))</f>
        <v/>
      </c>
      <c r="AS58" s="29" t="str">
        <f aca="false">IF(OR($C58="",$D58=""),"",IF(AND(AS$3&lt;=$D58,AS$3+6&gt;=$C58),IF(AND($D58&gt;=AS$3,$D58&lt;=AS$3+6),2,1),""))</f>
        <v/>
      </c>
      <c r="AT58" s="29" t="str">
        <f aca="false">IF(OR($C58="",$D58=""),"",IF(AND(AT$3&lt;=$D58,AT$3+6&gt;=$C58),IF(AND($D58&gt;=AT$3,$D58&lt;=AT$3+6),2,1),""))</f>
        <v/>
      </c>
      <c r="AU58" s="29" t="str">
        <f aca="false">IF(OR($C58="",$D58=""),"",IF(AND(AU$3&lt;=$D58,AU$3+6&gt;=$C58),IF(AND($D58&gt;=AU$3,$D58&lt;=AU$3+6),2,1),""))</f>
        <v/>
      </c>
      <c r="AV58" s="29" t="str">
        <f aca="false">IF(OR($C58="",$D58=""),"",IF(AND(AV$3&lt;=$D58,AV$3+6&gt;=$C58),IF(AND($D58&gt;=AV$3,$D58&lt;=AV$3+6),2,1),""))</f>
        <v/>
      </c>
      <c r="AW58" s="29" t="str">
        <f aca="false">IF(OR($C58="",$D58=""),"",IF(AND(AW$3&lt;=$D58,AW$3+6&gt;=$C58),IF(AND($D58&gt;=AW$3,$D58&lt;=AW$3+6),2,1),""))</f>
        <v/>
      </c>
      <c r="AX58" s="29" t="str">
        <f aca="false">IF(OR($C58="",$D58=""),"",IF(AND(AX$3&lt;=$D58,AX$3+6&gt;=$C58),IF(AND($D58&gt;=AX$3,$D58&lt;=AX$3+6),2,1),""))</f>
        <v/>
      </c>
      <c r="AY58" s="29" t="str">
        <f aca="false">IF(OR($C58="",$D58=""),"",IF(AND(AY$3&lt;=$D58,AY$3+6&gt;=$C58),IF(AND($D58&gt;=AY$3,$D58&lt;=AY$3+6),2,1),""))</f>
        <v/>
      </c>
      <c r="AZ58" s="29" t="str">
        <f aca="false">IF(OR($C58="",$D58=""),"",IF(AND(AZ$3&lt;=$D58,AZ$3+6&gt;=$C58),IF(AND($D58&gt;=AZ$3,$D58&lt;=AZ$3+6),2,1),""))</f>
        <v/>
      </c>
      <c r="BA58" s="29" t="str">
        <f aca="false">IF(OR($C58="",$D58=""),"",IF(AND(BA$3&lt;=$D58,BA$3+6&gt;=$C58),IF(AND($D58&gt;=BA$3,$D58&lt;=BA$3+6),2,1),""))</f>
        <v/>
      </c>
      <c r="BB58" s="29" t="str">
        <f aca="false">IF(OR($C58="",$D58=""),"",IF(AND(BB$3&lt;=$D58,BB$3+6&gt;=$C58),IF(AND($D58&gt;=BB$3,$D58&lt;=BB$3+6),2,1),""))</f>
        <v/>
      </c>
      <c r="BC58" s="29" t="str">
        <f aca="false">IF(OR($C58="",$D58=""),"",IF(AND(BC$3&lt;=$D58,BC$3+6&gt;=$C58),IF(AND($D58&gt;=BC$3,$D58&lt;=BC$3+6),2,1),""))</f>
        <v/>
      </c>
      <c r="BD58" s="29" t="n">
        <f aca="false">IF(OR($C58="",$D58=""),"",IF(AND(BD$3&lt;=$D58,BD$3+6&gt;=$C58),IF(AND($D58&gt;=BD$3,$D58&lt;=BD$3+6),2,1),""))</f>
        <v>1</v>
      </c>
      <c r="BE58" s="29" t="n">
        <f aca="false">IF(OR($C58="",$D58=""),"",IF(AND(BE$3&lt;=$D58,BE$3+6&gt;=$C58),IF(AND($D58&gt;=BE$3,$D58&lt;=BE$3+6),2,1),""))</f>
        <v>1</v>
      </c>
      <c r="BF58" s="29" t="n">
        <f aca="false">IF(OR($C58="",$D58=""),"",IF(AND(BF$3&lt;=$D58,BF$3+6&gt;=$C58),IF(AND($D58&gt;=BF$3,$D58&lt;=BF$3+6),2,1),""))</f>
        <v>2</v>
      </c>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row>
    <row r="60" customFormat="false" ht="15" hidden="false" customHeight="false" outlineLevel="0" collapsed="false">
      <c r="A60" s="2"/>
      <c r="B60" s="3" t="s">
        <v>410</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row>
  </sheetData>
  <conditionalFormatting sqref="E5:BF58">
    <cfRule type="cellIs" priority="2" operator="equal" aboveAverage="0" equalAverage="0" bottom="0" percent="0" rank="0" text="" dxfId="14">
      <formula>2</formula>
    </cfRule>
    <cfRule type="cellIs" priority="3" operator="equal" aboveAverage="0" equalAverage="0" bottom="0" percent="0" rank="0" text="" dxfId="15">
      <formula>1</formula>
    </cfRule>
  </conditionalFormatting>
  <conditionalFormatting sqref="E4:BF4">
    <cfRule type="expression" priority="4" aboveAverage="0" equalAverage="0" bottom="0" percent="0" rank="0" text="" dxfId="16">
      <formula>AND(TODAY()&gt;=E$3,TODAY()&lt;=E$3+6)</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26"/>
    <col collapsed="false" customWidth="true" hidden="false" outlineLevel="0" max="4" min="4" style="0" width="10"/>
    <col collapsed="false" customWidth="true" hidden="false" outlineLevel="0" max="5" min="5" style="0" width="11"/>
    <col collapsed="false" customWidth="true" hidden="false" outlineLevel="0" max="10" min="6" style="0" width="14"/>
    <col collapsed="false" customWidth="true" hidden="false" outlineLevel="0" max="11" min="11" style="0" width="22"/>
    <col collapsed="false" customWidth="true" hidden="false" outlineLevel="0" max="12" min="12" style="0" width="34"/>
    <col collapsed="false" customWidth="true" hidden="false" outlineLevel="0" max="16" min="13" style="0" width="13"/>
  </cols>
  <sheetData>
    <row r="1" customFormat="false" ht="24" hidden="false" customHeight="true" outlineLevel="0" collapsed="false">
      <c r="A1" s="1" t="s">
        <v>411</v>
      </c>
      <c r="B1" s="2"/>
      <c r="C1" s="2"/>
      <c r="D1" s="2"/>
      <c r="E1" s="2"/>
      <c r="F1" s="2"/>
      <c r="G1" s="2"/>
      <c r="H1" s="2"/>
      <c r="I1" s="2"/>
      <c r="J1" s="2"/>
      <c r="K1" s="2"/>
      <c r="L1" s="2"/>
      <c r="M1" s="2"/>
      <c r="N1" s="2"/>
      <c r="O1" s="2"/>
      <c r="P1" s="2"/>
    </row>
    <row r="2" customFormat="false" ht="15" hidden="false" customHeight="false" outlineLevel="0" collapsed="false">
      <c r="A2" s="3" t="s">
        <v>412</v>
      </c>
      <c r="B2" s="2"/>
      <c r="C2" s="2"/>
      <c r="D2" s="2"/>
      <c r="E2" s="2"/>
      <c r="F2" s="2"/>
      <c r="G2" s="2"/>
      <c r="H2" s="2"/>
      <c r="I2" s="2"/>
      <c r="J2" s="2"/>
      <c r="K2" s="2"/>
      <c r="L2" s="2"/>
      <c r="M2" s="2"/>
      <c r="N2" s="2"/>
      <c r="O2" s="2"/>
      <c r="P2" s="2"/>
    </row>
    <row r="3" customFormat="false" ht="15" hidden="false" customHeight="false" outlineLevel="0" collapsed="false">
      <c r="A3" s="2"/>
      <c r="B3" s="2"/>
      <c r="C3" s="2"/>
      <c r="D3" s="2"/>
      <c r="E3" s="2"/>
      <c r="F3" s="2"/>
      <c r="G3" s="2"/>
      <c r="H3" s="2"/>
      <c r="I3" s="2"/>
      <c r="J3" s="2"/>
      <c r="K3" s="2"/>
      <c r="L3" s="2"/>
      <c r="M3" s="2"/>
      <c r="N3" s="2"/>
      <c r="O3" s="2"/>
      <c r="P3" s="2"/>
    </row>
    <row r="4" customFormat="false" ht="15" hidden="false" customHeight="false" outlineLevel="0" collapsed="false">
      <c r="A4" s="15" t="s">
        <v>413</v>
      </c>
      <c r="B4" s="2"/>
      <c r="C4" s="2"/>
      <c r="D4" s="2"/>
      <c r="E4" s="2"/>
      <c r="F4" s="2"/>
      <c r="G4" s="2"/>
      <c r="H4" s="2"/>
      <c r="I4" s="2"/>
      <c r="J4" s="2"/>
      <c r="K4" s="2"/>
      <c r="L4" s="2"/>
      <c r="M4" s="2"/>
      <c r="N4" s="2"/>
      <c r="O4" s="2"/>
      <c r="P4" s="2"/>
    </row>
    <row r="5" customFormat="false" ht="30" hidden="false" customHeight="true" outlineLevel="0" collapsed="false">
      <c r="A5" s="6" t="s">
        <v>414</v>
      </c>
      <c r="B5" s="6" t="s">
        <v>415</v>
      </c>
      <c r="C5" s="6" t="s">
        <v>416</v>
      </c>
      <c r="D5" s="6" t="s">
        <v>417</v>
      </c>
      <c r="E5" s="6" t="s">
        <v>418</v>
      </c>
      <c r="F5" s="6" t="s">
        <v>419</v>
      </c>
      <c r="G5" s="6" t="s">
        <v>420</v>
      </c>
      <c r="H5" s="6" t="s">
        <v>421</v>
      </c>
      <c r="I5" s="6" t="s">
        <v>422</v>
      </c>
      <c r="J5" s="6" t="s">
        <v>423</v>
      </c>
      <c r="K5" s="6" t="s">
        <v>57</v>
      </c>
      <c r="L5" s="6" t="s">
        <v>424</v>
      </c>
      <c r="M5" s="2"/>
      <c r="N5" s="2"/>
      <c r="O5" s="2"/>
      <c r="P5" s="2"/>
    </row>
    <row r="6" customFormat="false" ht="31.5" hidden="false" customHeight="true" outlineLevel="0" collapsed="false">
      <c r="A6" s="21" t="s">
        <v>425</v>
      </c>
      <c r="B6" s="21" t="s">
        <v>426</v>
      </c>
      <c r="C6" s="21" t="s">
        <v>427</v>
      </c>
      <c r="D6" s="21" t="s">
        <v>428</v>
      </c>
      <c r="E6" s="21" t="s">
        <v>429</v>
      </c>
      <c r="F6" s="8" t="n">
        <v>27</v>
      </c>
      <c r="G6" s="30" t="n">
        <v>40</v>
      </c>
      <c r="H6" s="30" t="n">
        <v>48</v>
      </c>
      <c r="I6" s="30" t="n">
        <v>48</v>
      </c>
      <c r="J6" s="30" t="n">
        <v>48</v>
      </c>
      <c r="K6" s="21" t="s">
        <v>185</v>
      </c>
      <c r="L6" s="21" t="s">
        <v>430</v>
      </c>
      <c r="M6" s="2"/>
      <c r="N6" s="2"/>
      <c r="O6" s="2"/>
      <c r="P6" s="2"/>
    </row>
    <row r="7" customFormat="false" ht="31.5" hidden="false" customHeight="true" outlineLevel="0" collapsed="false">
      <c r="A7" s="21" t="s">
        <v>431</v>
      </c>
      <c r="B7" s="21" t="s">
        <v>432</v>
      </c>
      <c r="C7" s="21" t="s">
        <v>433</v>
      </c>
      <c r="D7" s="21" t="s">
        <v>434</v>
      </c>
      <c r="E7" s="21" t="s">
        <v>429</v>
      </c>
      <c r="F7" s="31"/>
      <c r="G7" s="32" t="n">
        <v>0.5</v>
      </c>
      <c r="H7" s="32" t="n">
        <v>1</v>
      </c>
      <c r="I7" s="32" t="n">
        <v>1</v>
      </c>
      <c r="J7" s="32" t="n">
        <v>1</v>
      </c>
      <c r="K7" s="21" t="s">
        <v>185</v>
      </c>
      <c r="L7" s="21" t="s">
        <v>435</v>
      </c>
      <c r="M7" s="2"/>
      <c r="N7" s="2"/>
      <c r="O7" s="2"/>
      <c r="P7" s="2"/>
    </row>
    <row r="8" customFormat="false" ht="31.5" hidden="false" customHeight="true" outlineLevel="0" collapsed="false">
      <c r="A8" s="21" t="s">
        <v>436</v>
      </c>
      <c r="B8" s="21" t="s">
        <v>437</v>
      </c>
      <c r="C8" s="21" t="s">
        <v>438</v>
      </c>
      <c r="D8" s="21" t="s">
        <v>434</v>
      </c>
      <c r="E8" s="21" t="s">
        <v>429</v>
      </c>
      <c r="F8" s="31"/>
      <c r="G8" s="32" t="n">
        <v>0.5</v>
      </c>
      <c r="H8" s="32" t="n">
        <v>0.8</v>
      </c>
      <c r="I8" s="32" t="n">
        <v>0.9</v>
      </c>
      <c r="J8" s="32" t="n">
        <v>0.9</v>
      </c>
      <c r="K8" s="21" t="s">
        <v>270</v>
      </c>
      <c r="L8" s="21" t="s">
        <v>435</v>
      </c>
      <c r="M8" s="2"/>
      <c r="N8" s="2"/>
      <c r="O8" s="2"/>
      <c r="P8" s="2"/>
    </row>
    <row r="9" customFormat="false" ht="31.5" hidden="false" customHeight="true" outlineLevel="0" collapsed="false">
      <c r="A9" s="21" t="s">
        <v>439</v>
      </c>
      <c r="B9" s="21" t="s">
        <v>440</v>
      </c>
      <c r="C9" s="21" t="s">
        <v>441</v>
      </c>
      <c r="D9" s="21" t="s">
        <v>434</v>
      </c>
      <c r="E9" s="21" t="s">
        <v>429</v>
      </c>
      <c r="F9" s="31"/>
      <c r="G9" s="9"/>
      <c r="H9" s="32" t="n">
        <v>0.3</v>
      </c>
      <c r="I9" s="32" t="n">
        <v>0.6</v>
      </c>
      <c r="J9" s="32" t="n">
        <v>0.8</v>
      </c>
      <c r="K9" s="21" t="s">
        <v>68</v>
      </c>
      <c r="L9" s="21" t="s">
        <v>435</v>
      </c>
      <c r="M9" s="2"/>
      <c r="N9" s="2"/>
      <c r="O9" s="2"/>
      <c r="P9" s="2"/>
    </row>
    <row r="10" customFormat="false" ht="31.5" hidden="false" customHeight="true" outlineLevel="0" collapsed="false">
      <c r="A10" s="21" t="s">
        <v>442</v>
      </c>
      <c r="B10" s="21" t="s">
        <v>443</v>
      </c>
      <c r="C10" s="21" t="s">
        <v>444</v>
      </c>
      <c r="D10" s="21" t="s">
        <v>434</v>
      </c>
      <c r="E10" s="21" t="s">
        <v>429</v>
      </c>
      <c r="F10" s="31"/>
      <c r="G10" s="32" t="n">
        <v>0.1</v>
      </c>
      <c r="H10" s="32" t="n">
        <v>0.3</v>
      </c>
      <c r="I10" s="32" t="n">
        <v>0.5</v>
      </c>
      <c r="J10" s="32" t="n">
        <v>0.8</v>
      </c>
      <c r="K10" s="21" t="s">
        <v>68</v>
      </c>
      <c r="L10" s="21" t="s">
        <v>445</v>
      </c>
      <c r="M10" s="2"/>
      <c r="N10" s="2"/>
      <c r="O10" s="2"/>
      <c r="P10" s="2"/>
    </row>
    <row r="11" customFormat="false" ht="18" hidden="false" customHeight="true" outlineLevel="0" collapsed="false">
      <c r="A11" s="21" t="s">
        <v>446</v>
      </c>
      <c r="B11" s="21" t="s">
        <v>447</v>
      </c>
      <c r="C11" s="21" t="s">
        <v>444</v>
      </c>
      <c r="D11" s="21" t="s">
        <v>434</v>
      </c>
      <c r="E11" s="21" t="s">
        <v>429</v>
      </c>
      <c r="F11" s="9" t="n">
        <v>0</v>
      </c>
      <c r="G11" s="32" t="n">
        <v>0.15</v>
      </c>
      <c r="H11" s="32" t="n">
        <v>0.4</v>
      </c>
      <c r="I11" s="32" t="n">
        <v>1</v>
      </c>
      <c r="J11" s="32" t="n">
        <v>1</v>
      </c>
      <c r="K11" s="21" t="s">
        <v>127</v>
      </c>
      <c r="L11" s="21" t="s">
        <v>435</v>
      </c>
      <c r="M11" s="2"/>
      <c r="N11" s="2"/>
      <c r="O11" s="2"/>
      <c r="P11" s="2"/>
    </row>
    <row r="12" customFormat="false" ht="18" hidden="false" customHeight="true" outlineLevel="0" collapsed="false">
      <c r="A12" s="21" t="s">
        <v>448</v>
      </c>
      <c r="B12" s="21" t="s">
        <v>449</v>
      </c>
      <c r="C12" s="21" t="s">
        <v>450</v>
      </c>
      <c r="D12" s="21" t="s">
        <v>434</v>
      </c>
      <c r="E12" s="21" t="s">
        <v>429</v>
      </c>
      <c r="F12" s="31"/>
      <c r="G12" s="9"/>
      <c r="H12" s="32" t="n">
        <v>0.85</v>
      </c>
      <c r="I12" s="32" t="n">
        <v>0.9</v>
      </c>
      <c r="J12" s="32" t="n">
        <v>0.9</v>
      </c>
      <c r="K12" s="21" t="s">
        <v>229</v>
      </c>
      <c r="L12" s="21" t="s">
        <v>435</v>
      </c>
      <c r="M12" s="2"/>
      <c r="N12" s="2"/>
      <c r="O12" s="2"/>
      <c r="P12" s="2"/>
    </row>
    <row r="13" customFormat="false" ht="31.5" hidden="false" customHeight="true" outlineLevel="0" collapsed="false">
      <c r="A13" s="21" t="s">
        <v>451</v>
      </c>
      <c r="B13" s="21" t="s">
        <v>452</v>
      </c>
      <c r="C13" s="21" t="s">
        <v>453</v>
      </c>
      <c r="D13" s="21" t="s">
        <v>454</v>
      </c>
      <c r="E13" s="21" t="s">
        <v>429</v>
      </c>
      <c r="F13" s="8" t="n">
        <v>1</v>
      </c>
      <c r="G13" s="30" t="n">
        <v>5</v>
      </c>
      <c r="H13" s="30" t="n">
        <v>20</v>
      </c>
      <c r="I13" s="30" t="n">
        <v>30</v>
      </c>
      <c r="J13" s="30" t="n">
        <v>60</v>
      </c>
      <c r="K13" s="21" t="s">
        <v>229</v>
      </c>
      <c r="L13" s="21" t="s">
        <v>455</v>
      </c>
      <c r="M13" s="2"/>
      <c r="N13" s="2"/>
      <c r="O13" s="2"/>
      <c r="P13" s="2"/>
    </row>
    <row r="14" customFormat="false" ht="31.5" hidden="false" customHeight="true" outlineLevel="0" collapsed="false">
      <c r="A14" s="21" t="s">
        <v>456</v>
      </c>
      <c r="B14" s="21" t="s">
        <v>457</v>
      </c>
      <c r="C14" s="21" t="s">
        <v>458</v>
      </c>
      <c r="D14" s="21" t="s">
        <v>434</v>
      </c>
      <c r="E14" s="21" t="s">
        <v>429</v>
      </c>
      <c r="F14" s="31"/>
      <c r="G14" s="9"/>
      <c r="H14" s="32" t="n">
        <v>0.5</v>
      </c>
      <c r="I14" s="32" t="n">
        <v>0.8</v>
      </c>
      <c r="J14" s="32" t="n">
        <v>0.9</v>
      </c>
      <c r="K14" s="21" t="s">
        <v>263</v>
      </c>
      <c r="L14" s="21" t="s">
        <v>435</v>
      </c>
      <c r="M14" s="2"/>
      <c r="N14" s="2"/>
      <c r="O14" s="2"/>
      <c r="P14" s="2"/>
    </row>
    <row r="15" customFormat="false" ht="31.5" hidden="false" customHeight="true" outlineLevel="0" collapsed="false">
      <c r="A15" s="21" t="s">
        <v>459</v>
      </c>
      <c r="B15" s="21" t="s">
        <v>460</v>
      </c>
      <c r="C15" s="21" t="s">
        <v>461</v>
      </c>
      <c r="D15" s="21" t="s">
        <v>462</v>
      </c>
      <c r="E15" s="21" t="s">
        <v>463</v>
      </c>
      <c r="F15" s="33"/>
      <c r="G15" s="30" t="n">
        <v>0</v>
      </c>
      <c r="H15" s="30" t="n">
        <v>0</v>
      </c>
      <c r="I15" s="30" t="n">
        <v>0</v>
      </c>
      <c r="J15" s="30" t="n">
        <v>0</v>
      </c>
      <c r="K15" s="21" t="s">
        <v>210</v>
      </c>
      <c r="L15" s="21" t="s">
        <v>464</v>
      </c>
      <c r="M15" s="2"/>
      <c r="N15" s="2"/>
      <c r="O15" s="2"/>
      <c r="P15" s="2"/>
    </row>
    <row r="16" customFormat="false" ht="15" hidden="false" customHeight="false" outlineLevel="0" collapsed="false">
      <c r="A16" s="16" t="s">
        <v>465</v>
      </c>
      <c r="B16" s="2"/>
      <c r="C16" s="2"/>
      <c r="D16" s="2"/>
      <c r="E16" s="2"/>
      <c r="F16" s="34" t="n">
        <v>48</v>
      </c>
      <c r="G16" s="2"/>
      <c r="H16" s="2"/>
      <c r="I16" s="2"/>
      <c r="J16" s="2"/>
      <c r="K16" s="2"/>
      <c r="L16" s="2"/>
      <c r="M16" s="2"/>
      <c r="N16" s="2"/>
      <c r="O16" s="2"/>
      <c r="P16" s="2"/>
    </row>
    <row r="17" customFormat="false" ht="15" hidden="false" customHeight="false" outlineLevel="0" collapsed="false">
      <c r="A17" s="16" t="s">
        <v>466</v>
      </c>
      <c r="B17" s="2"/>
      <c r="C17" s="2"/>
      <c r="D17" s="2"/>
      <c r="E17" s="2"/>
      <c r="F17" s="35" t="n">
        <f aca="false">IF(F6="","",F6/$F$16)</f>
        <v>0.5625</v>
      </c>
      <c r="G17" s="35" t="n">
        <f aca="false">IF(G6="","",G6/$F$16)</f>
        <v>0.833333333333333</v>
      </c>
      <c r="H17" s="35" t="n">
        <f aca="false">IF(H6="","",H6/$F$16)</f>
        <v>1</v>
      </c>
      <c r="I17" s="35" t="n">
        <f aca="false">IF(I6="","",I6/$F$16)</f>
        <v>1</v>
      </c>
      <c r="J17" s="35" t="n">
        <f aca="false">IF(J6="","",J6/$F$16)</f>
        <v>1</v>
      </c>
      <c r="K17" s="2"/>
      <c r="L17" s="2"/>
      <c r="M17" s="2"/>
      <c r="N17" s="2"/>
      <c r="O17" s="2"/>
      <c r="P17" s="2"/>
    </row>
    <row r="18" customFormat="false" ht="15" hidden="false" customHeight="false" outlineLevel="0" collapsed="false">
      <c r="A18" s="2"/>
      <c r="B18" s="2"/>
      <c r="C18" s="2"/>
      <c r="D18" s="2"/>
      <c r="E18" s="2"/>
      <c r="F18" s="2"/>
      <c r="G18" s="2"/>
      <c r="H18" s="2"/>
      <c r="I18" s="2"/>
      <c r="J18" s="2"/>
      <c r="K18" s="2"/>
      <c r="L18" s="2"/>
      <c r="M18" s="2"/>
      <c r="N18" s="2"/>
      <c r="O18" s="2"/>
      <c r="P18" s="2"/>
    </row>
    <row r="19" customFormat="false" ht="15" hidden="false" customHeight="false" outlineLevel="0" collapsed="false">
      <c r="A19" s="15" t="s">
        <v>467</v>
      </c>
      <c r="B19" s="2"/>
      <c r="C19" s="2"/>
      <c r="D19" s="2"/>
      <c r="E19" s="2"/>
      <c r="F19" s="2"/>
      <c r="G19" s="2"/>
      <c r="H19" s="2"/>
      <c r="I19" s="2"/>
      <c r="J19" s="2"/>
      <c r="K19" s="2"/>
      <c r="L19" s="2"/>
      <c r="M19" s="2"/>
      <c r="N19" s="2"/>
      <c r="O19" s="2"/>
      <c r="P19" s="2"/>
    </row>
    <row r="20" customFormat="false" ht="15" hidden="false" customHeight="false" outlineLevel="0" collapsed="false">
      <c r="A20" s="3" t="s">
        <v>468</v>
      </c>
      <c r="B20" s="2"/>
      <c r="C20" s="2"/>
      <c r="D20" s="2"/>
      <c r="E20" s="2"/>
      <c r="F20" s="2"/>
      <c r="G20" s="2"/>
      <c r="H20" s="2"/>
      <c r="I20" s="2"/>
      <c r="J20" s="2"/>
      <c r="K20" s="2"/>
      <c r="L20" s="2"/>
      <c r="M20" s="2"/>
      <c r="N20" s="2"/>
      <c r="O20" s="2"/>
      <c r="P20" s="2"/>
    </row>
    <row r="21" customFormat="false" ht="30" hidden="false" customHeight="true" outlineLevel="0" collapsed="false">
      <c r="A21" s="6" t="s">
        <v>414</v>
      </c>
      <c r="B21" s="6" t="s">
        <v>415</v>
      </c>
      <c r="C21" s="6" t="s">
        <v>416</v>
      </c>
      <c r="D21" s="6" t="s">
        <v>417</v>
      </c>
      <c r="E21" s="6" t="s">
        <v>469</v>
      </c>
      <c r="F21" s="6" t="s">
        <v>419</v>
      </c>
      <c r="G21" s="6" t="s">
        <v>470</v>
      </c>
      <c r="H21" s="6" t="s">
        <v>471</v>
      </c>
      <c r="I21" s="6" t="s">
        <v>472</v>
      </c>
      <c r="J21" s="6" t="s">
        <v>473</v>
      </c>
      <c r="K21" s="6" t="s">
        <v>57</v>
      </c>
      <c r="L21" s="6" t="s">
        <v>424</v>
      </c>
      <c r="M21" s="6" t="s">
        <v>474</v>
      </c>
      <c r="N21" s="6" t="s">
        <v>475</v>
      </c>
      <c r="O21" s="6" t="s">
        <v>476</v>
      </c>
      <c r="P21" s="6" t="s">
        <v>477</v>
      </c>
    </row>
    <row r="22" customFormat="false" ht="31.5" hidden="false" customHeight="true" outlineLevel="0" collapsed="false">
      <c r="A22" s="21" t="s">
        <v>478</v>
      </c>
      <c r="B22" s="21" t="s">
        <v>479</v>
      </c>
      <c r="C22" s="21" t="s">
        <v>480</v>
      </c>
      <c r="D22" s="21" t="s">
        <v>434</v>
      </c>
      <c r="E22" s="21" t="s">
        <v>481</v>
      </c>
      <c r="F22" s="31"/>
      <c r="G22" s="9" t="str">
        <f aca="false">IF($F22="","",MIN(1,$F22+M22/100))</f>
        <v/>
      </c>
      <c r="H22" s="9" t="str">
        <f aca="false">IF($F22="","",MIN(1,$F22+N22/100))</f>
        <v/>
      </c>
      <c r="I22" s="9" t="str">
        <f aca="false">IF($F22="","",MIN(1,$F22+O22/100))</f>
        <v/>
      </c>
      <c r="J22" s="9" t="str">
        <f aca="false">IF($F22="","",MIN(1,$F22+P22/100))</f>
        <v/>
      </c>
      <c r="K22" s="21" t="s">
        <v>127</v>
      </c>
      <c r="L22" s="21" t="s">
        <v>482</v>
      </c>
      <c r="M22" s="36" t="n">
        <v>0</v>
      </c>
      <c r="N22" s="36" t="n">
        <v>10</v>
      </c>
      <c r="O22" s="36" t="n">
        <v>20</v>
      </c>
      <c r="P22" s="36" t="n">
        <v>30</v>
      </c>
    </row>
    <row r="23" customFormat="false" ht="31.5" hidden="false" customHeight="true" outlineLevel="0" collapsed="false">
      <c r="A23" s="21" t="s">
        <v>483</v>
      </c>
      <c r="B23" s="21" t="s">
        <v>484</v>
      </c>
      <c r="C23" s="21" t="s">
        <v>444</v>
      </c>
      <c r="D23" s="21" t="s">
        <v>485</v>
      </c>
      <c r="E23" s="21" t="s">
        <v>486</v>
      </c>
      <c r="F23" s="33"/>
      <c r="G23" s="37" t="str">
        <f aca="false">IF($F23="","",$F23*(1+M23))</f>
        <v/>
      </c>
      <c r="H23" s="37" t="str">
        <f aca="false">IF($F23="","",$F23*(1+N23))</f>
        <v/>
      </c>
      <c r="I23" s="37" t="str">
        <f aca="false">IF($F23="","",$F23*(1+O23))</f>
        <v/>
      </c>
      <c r="J23" s="37" t="str">
        <f aca="false">IF($F23="","",$F23*(1+P23))</f>
        <v/>
      </c>
      <c r="K23" s="21" t="s">
        <v>270</v>
      </c>
      <c r="L23" s="21" t="s">
        <v>435</v>
      </c>
      <c r="M23" s="38" t="n">
        <v>-0.15</v>
      </c>
      <c r="N23" s="38" t="n">
        <v>-0.3</v>
      </c>
      <c r="O23" s="38" t="n">
        <v>-0.5</v>
      </c>
      <c r="P23" s="38" t="n">
        <v>-0.6</v>
      </c>
    </row>
    <row r="24" customFormat="false" ht="31.5" hidden="false" customHeight="true" outlineLevel="0" collapsed="false">
      <c r="A24" s="21" t="s">
        <v>487</v>
      </c>
      <c r="B24" s="21" t="s">
        <v>488</v>
      </c>
      <c r="C24" s="21" t="s">
        <v>444</v>
      </c>
      <c r="D24" s="21" t="s">
        <v>485</v>
      </c>
      <c r="E24" s="21" t="s">
        <v>486</v>
      </c>
      <c r="F24" s="33"/>
      <c r="G24" s="37" t="str">
        <f aca="false">IF($F24="","",$F24*(1+M24))</f>
        <v/>
      </c>
      <c r="H24" s="37" t="str">
        <f aca="false">IF($F24="","",$F24*(1+N24))</f>
        <v/>
      </c>
      <c r="I24" s="37" t="str">
        <f aca="false">IF($F24="","",$F24*(1+O24))</f>
        <v/>
      </c>
      <c r="J24" s="37" t="str">
        <f aca="false">IF($F24="","",$F24*(1+P24))</f>
        <v/>
      </c>
      <c r="K24" s="21" t="s">
        <v>127</v>
      </c>
      <c r="L24" s="21" t="s">
        <v>435</v>
      </c>
      <c r="M24" s="38" t="n">
        <v>0</v>
      </c>
      <c r="N24" s="38" t="n">
        <v>-0.1</v>
      </c>
      <c r="O24" s="38" t="n">
        <v>-0.25</v>
      </c>
      <c r="P24" s="38" t="n">
        <v>-0.4</v>
      </c>
    </row>
    <row r="25" customFormat="false" ht="18" hidden="false" customHeight="true" outlineLevel="0" collapsed="false">
      <c r="A25" s="21" t="s">
        <v>489</v>
      </c>
      <c r="B25" s="21" t="s">
        <v>490</v>
      </c>
      <c r="C25" s="21" t="s">
        <v>491</v>
      </c>
      <c r="D25" s="21" t="s">
        <v>492</v>
      </c>
      <c r="E25" s="21" t="s">
        <v>486</v>
      </c>
      <c r="F25" s="33"/>
      <c r="G25" s="37" t="str">
        <f aca="false">IF($F25="","",$F25*(1+M25))</f>
        <v/>
      </c>
      <c r="H25" s="37" t="str">
        <f aca="false">IF($F25="","",$F25*(1+N25))</f>
        <v/>
      </c>
      <c r="I25" s="37" t="str">
        <f aca="false">IF($F25="","",$F25*(1+O25))</f>
        <v/>
      </c>
      <c r="J25" s="37" t="str">
        <f aca="false">IF($F25="","",$F25*(1+P25))</f>
        <v/>
      </c>
      <c r="K25" s="21" t="s">
        <v>68</v>
      </c>
      <c r="L25" s="21" t="s">
        <v>435</v>
      </c>
      <c r="M25" s="38" t="n">
        <v>0</v>
      </c>
      <c r="N25" s="38" t="n">
        <v>-0.2</v>
      </c>
      <c r="O25" s="38" t="n">
        <v>-0.35</v>
      </c>
      <c r="P25" s="38" t="n">
        <v>-0.5</v>
      </c>
    </row>
    <row r="26" customFormat="false" ht="31.5" hidden="false" customHeight="true" outlineLevel="0" collapsed="false">
      <c r="A26" s="21" t="s">
        <v>493</v>
      </c>
      <c r="B26" s="21" t="s">
        <v>494</v>
      </c>
      <c r="C26" s="21" t="s">
        <v>495</v>
      </c>
      <c r="D26" s="21" t="s">
        <v>434</v>
      </c>
      <c r="E26" s="21" t="s">
        <v>481</v>
      </c>
      <c r="F26" s="31"/>
      <c r="G26" s="9" t="str">
        <f aca="false">IF($F26="","",MIN(1,$F26+M26/100))</f>
        <v/>
      </c>
      <c r="H26" s="9" t="str">
        <f aca="false">IF($F26="","",MIN(1,$F26+N26/100))</f>
        <v/>
      </c>
      <c r="I26" s="9" t="str">
        <f aca="false">IF($F26="","",MIN(1,$F26+O26/100))</f>
        <v/>
      </c>
      <c r="J26" s="9" t="str">
        <f aca="false">IF($F26="","",MIN(1,$F26+P26/100))</f>
        <v/>
      </c>
      <c r="K26" s="21" t="s">
        <v>185</v>
      </c>
      <c r="L26" s="21" t="s">
        <v>435</v>
      </c>
      <c r="M26" s="36" t="n">
        <v>0</v>
      </c>
      <c r="N26" s="36" t="n">
        <v>5</v>
      </c>
      <c r="O26" s="36" t="n">
        <v>10</v>
      </c>
      <c r="P26" s="36" t="n">
        <v>15</v>
      </c>
    </row>
    <row r="27" customFormat="false" ht="31.5" hidden="false" customHeight="true" outlineLevel="0" collapsed="false">
      <c r="A27" s="21" t="s">
        <v>496</v>
      </c>
      <c r="B27" s="21" t="s">
        <v>497</v>
      </c>
      <c r="C27" s="21" t="s">
        <v>498</v>
      </c>
      <c r="D27" s="21" t="s">
        <v>499</v>
      </c>
      <c r="E27" s="21" t="s">
        <v>486</v>
      </c>
      <c r="F27" s="33"/>
      <c r="G27" s="37" t="str">
        <f aca="false">IF($F27="","",$F27*(1+M27))</f>
        <v/>
      </c>
      <c r="H27" s="37" t="str">
        <f aca="false">IF($F27="","",$F27*(1+N27))</f>
        <v/>
      </c>
      <c r="I27" s="37" t="str">
        <f aca="false">IF($F27="","",$F27*(1+O27))</f>
        <v/>
      </c>
      <c r="J27" s="37" t="str">
        <f aca="false">IF($F27="","",$F27*(1+P27))</f>
        <v/>
      </c>
      <c r="K27" s="21" t="s">
        <v>263</v>
      </c>
      <c r="L27" s="21" t="s">
        <v>500</v>
      </c>
      <c r="M27" s="38" t="n">
        <v>0</v>
      </c>
      <c r="N27" s="38" t="n">
        <v>0</v>
      </c>
      <c r="O27" s="38" t="n">
        <v>-0.1</v>
      </c>
      <c r="P27" s="38" t="n">
        <v>-0.25</v>
      </c>
    </row>
    <row r="28" customFormat="false" ht="18" hidden="false" customHeight="true" outlineLevel="0" collapsed="false">
      <c r="A28" s="21" t="s">
        <v>501</v>
      </c>
      <c r="B28" s="21" t="s">
        <v>502</v>
      </c>
      <c r="C28" s="21" t="s">
        <v>355</v>
      </c>
      <c r="D28" s="21" t="s">
        <v>503</v>
      </c>
      <c r="E28" s="21" t="s">
        <v>486</v>
      </c>
      <c r="F28" s="33"/>
      <c r="G28" s="37" t="str">
        <f aca="false">IF($F28="","",$F28*(1+M28))</f>
        <v/>
      </c>
      <c r="H28" s="37" t="str">
        <f aca="false">IF($F28="","",$F28*(1+N28))</f>
        <v/>
      </c>
      <c r="I28" s="37" t="str">
        <f aca="false">IF($F28="","",$F28*(1+O28))</f>
        <v/>
      </c>
      <c r="J28" s="37" t="str">
        <f aca="false">IF($F28="","",$F28*(1+P28))</f>
        <v/>
      </c>
      <c r="K28" s="21" t="s">
        <v>263</v>
      </c>
      <c r="L28" s="21" t="s">
        <v>435</v>
      </c>
      <c r="M28" s="38" t="n">
        <v>0</v>
      </c>
      <c r="N28" s="38" t="n">
        <v>0</v>
      </c>
      <c r="O28" s="38" t="n">
        <v>-0.15</v>
      </c>
      <c r="P28" s="38" t="n">
        <v>-0.3</v>
      </c>
    </row>
    <row r="29" customFormat="false" ht="45" hidden="false" customHeight="true" outlineLevel="0" collapsed="false">
      <c r="A29" s="21" t="s">
        <v>504</v>
      </c>
      <c r="B29" s="21" t="s">
        <v>505</v>
      </c>
      <c r="C29" s="21" t="s">
        <v>506</v>
      </c>
      <c r="D29" s="21" t="s">
        <v>507</v>
      </c>
      <c r="E29" s="21" t="s">
        <v>481</v>
      </c>
      <c r="F29" s="39" t="n">
        <v>1.3</v>
      </c>
      <c r="G29" s="40" t="n">
        <f aca="false">IF($F29="","",$F29+M29)</f>
        <v>1.3</v>
      </c>
      <c r="H29" s="40" t="n">
        <f aca="false">IF($F29="","",$F29+N29)</f>
        <v>1.5</v>
      </c>
      <c r="I29" s="40" t="n">
        <f aca="false">IF($F29="","",$F29+O29)</f>
        <v>2</v>
      </c>
      <c r="J29" s="40" t="n">
        <f aca="false">IF($F29="","",$F29+P29)</f>
        <v>3</v>
      </c>
      <c r="K29" s="21" t="s">
        <v>68</v>
      </c>
      <c r="L29" s="21" t="s">
        <v>508</v>
      </c>
      <c r="M29" s="41" t="n">
        <v>0</v>
      </c>
      <c r="N29" s="41" t="n">
        <v>0.2</v>
      </c>
      <c r="O29" s="41" t="n">
        <v>0.7</v>
      </c>
      <c r="P29" s="41" t="n">
        <v>1.7</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46"/>
    <col collapsed="false" customWidth="true" hidden="false" outlineLevel="0" max="3" min="3" style="0" width="52"/>
    <col collapsed="false" customWidth="true" hidden="false" outlineLevel="0" max="4" min="4" style="0" width="30"/>
    <col collapsed="false" customWidth="true" hidden="false" outlineLevel="0" max="6" min="5" style="0" width="20"/>
  </cols>
  <sheetData>
    <row r="1" customFormat="false" ht="24" hidden="false" customHeight="true" outlineLevel="0" collapsed="false">
      <c r="A1" s="1" t="s">
        <v>509</v>
      </c>
      <c r="B1" s="2"/>
      <c r="C1" s="2"/>
      <c r="D1" s="2"/>
      <c r="E1" s="2"/>
      <c r="F1" s="2"/>
    </row>
    <row r="2" customFormat="false" ht="15" hidden="false" customHeight="false" outlineLevel="0" collapsed="false">
      <c r="A2" s="3" t="s">
        <v>510</v>
      </c>
      <c r="B2" s="2"/>
      <c r="C2" s="2"/>
      <c r="D2" s="2"/>
      <c r="E2" s="2"/>
      <c r="F2" s="2"/>
    </row>
    <row r="3" customFormat="false" ht="15" hidden="false" customHeight="false" outlineLevel="0" collapsed="false">
      <c r="A3" s="2"/>
      <c r="B3" s="2"/>
      <c r="C3" s="2"/>
      <c r="D3" s="2"/>
      <c r="E3" s="2"/>
      <c r="F3" s="2"/>
    </row>
    <row r="4" customFormat="false" ht="30" hidden="false" customHeight="true" outlineLevel="0" collapsed="false">
      <c r="A4" s="6" t="s">
        <v>511</v>
      </c>
      <c r="B4" s="6" t="s">
        <v>512</v>
      </c>
      <c r="C4" s="6" t="s">
        <v>129</v>
      </c>
      <c r="D4" s="6" t="s">
        <v>513</v>
      </c>
      <c r="E4" s="6" t="s">
        <v>57</v>
      </c>
      <c r="F4" s="2"/>
    </row>
    <row r="5" customFormat="false" ht="18" hidden="false" customHeight="true" outlineLevel="0" collapsed="false">
      <c r="A5" s="22" t="n">
        <v>46321</v>
      </c>
      <c r="B5" s="21" t="s">
        <v>514</v>
      </c>
      <c r="C5" s="21" t="s">
        <v>515</v>
      </c>
      <c r="D5" s="21" t="s">
        <v>516</v>
      </c>
      <c r="E5" s="21" t="s">
        <v>68</v>
      </c>
      <c r="F5" s="2"/>
    </row>
    <row r="6" customFormat="false" ht="18" hidden="false" customHeight="true" outlineLevel="0" collapsed="false">
      <c r="A6" s="22" t="n">
        <v>46323</v>
      </c>
      <c r="B6" s="21" t="s">
        <v>517</v>
      </c>
      <c r="C6" s="21" t="s">
        <v>518</v>
      </c>
      <c r="D6" s="21" t="s">
        <v>516</v>
      </c>
      <c r="E6" s="21" t="s">
        <v>77</v>
      </c>
      <c r="F6" s="2"/>
    </row>
    <row r="7" customFormat="false" ht="18" hidden="false" customHeight="true" outlineLevel="0" collapsed="false">
      <c r="A7" s="22" t="n">
        <v>46324</v>
      </c>
      <c r="B7" s="21" t="s">
        <v>519</v>
      </c>
      <c r="C7" s="21" t="s">
        <v>520</v>
      </c>
      <c r="D7" s="21" t="s">
        <v>516</v>
      </c>
      <c r="E7" s="21" t="s">
        <v>68</v>
      </c>
      <c r="F7" s="2"/>
    </row>
    <row r="8" customFormat="false" ht="31.5" hidden="false" customHeight="true" outlineLevel="0" collapsed="false">
      <c r="A8" s="22" t="n">
        <v>46332</v>
      </c>
      <c r="B8" s="21" t="s">
        <v>521</v>
      </c>
      <c r="C8" s="21" t="s">
        <v>522</v>
      </c>
      <c r="D8" s="21" t="s">
        <v>516</v>
      </c>
      <c r="E8" s="21" t="s">
        <v>68</v>
      </c>
      <c r="F8" s="2"/>
    </row>
    <row r="9" customFormat="false" ht="18" hidden="false" customHeight="true" outlineLevel="0" collapsed="false">
      <c r="A9" s="22" t="n">
        <v>46335</v>
      </c>
      <c r="B9" s="21" t="s">
        <v>523</v>
      </c>
      <c r="C9" s="21" t="s">
        <v>524</v>
      </c>
      <c r="D9" s="21" t="s">
        <v>516</v>
      </c>
      <c r="E9" s="21" t="s">
        <v>525</v>
      </c>
      <c r="F9" s="2"/>
    </row>
    <row r="10" customFormat="false" ht="31.5" hidden="false" customHeight="true" outlineLevel="0" collapsed="false">
      <c r="A10" s="22" t="n">
        <v>46346</v>
      </c>
      <c r="B10" s="21" t="s">
        <v>526</v>
      </c>
      <c r="C10" s="21" t="s">
        <v>527</v>
      </c>
      <c r="D10" s="21" t="s">
        <v>528</v>
      </c>
      <c r="E10" s="21" t="s">
        <v>127</v>
      </c>
      <c r="F10" s="2"/>
    </row>
    <row r="11" customFormat="false" ht="31.5" hidden="false" customHeight="true" outlineLevel="0" collapsed="false">
      <c r="A11" s="22" t="n">
        <v>46353</v>
      </c>
      <c r="B11" s="21" t="s">
        <v>529</v>
      </c>
      <c r="C11" s="21" t="s">
        <v>530</v>
      </c>
      <c r="D11" s="21" t="s">
        <v>528</v>
      </c>
      <c r="E11" s="21" t="s">
        <v>229</v>
      </c>
      <c r="F11" s="2"/>
    </row>
    <row r="12" customFormat="false" ht="31.5" hidden="false" customHeight="true" outlineLevel="0" collapsed="false">
      <c r="A12" s="22" t="n">
        <v>46356</v>
      </c>
      <c r="B12" s="21" t="s">
        <v>531</v>
      </c>
      <c r="C12" s="21" t="s">
        <v>532</v>
      </c>
      <c r="D12" s="21" t="s">
        <v>528</v>
      </c>
      <c r="E12" s="21" t="s">
        <v>185</v>
      </c>
      <c r="F12" s="2"/>
    </row>
    <row r="13" customFormat="false" ht="18" hidden="false" customHeight="true" outlineLevel="0" collapsed="false">
      <c r="A13" s="22" t="n">
        <v>46363</v>
      </c>
      <c r="B13" s="21" t="s">
        <v>533</v>
      </c>
      <c r="C13" s="21" t="s">
        <v>534</v>
      </c>
      <c r="D13" s="21" t="s">
        <v>528</v>
      </c>
      <c r="E13" s="21" t="s">
        <v>525</v>
      </c>
      <c r="F13" s="2"/>
    </row>
    <row r="14" customFormat="false" ht="31.5" hidden="false" customHeight="true" outlineLevel="0" collapsed="false">
      <c r="A14" s="22" t="n">
        <v>46374</v>
      </c>
      <c r="B14" s="21" t="s">
        <v>535</v>
      </c>
      <c r="C14" s="21" t="s">
        <v>536</v>
      </c>
      <c r="D14" s="21" t="s">
        <v>537</v>
      </c>
      <c r="E14" s="21" t="s">
        <v>229</v>
      </c>
      <c r="F14" s="2"/>
    </row>
    <row r="15" customFormat="false" ht="31.5" hidden="false" customHeight="true" outlineLevel="0" collapsed="false">
      <c r="A15" s="22" t="n">
        <v>46416</v>
      </c>
      <c r="B15" s="21" t="s">
        <v>538</v>
      </c>
      <c r="C15" s="21" t="s">
        <v>539</v>
      </c>
      <c r="D15" s="21" t="s">
        <v>537</v>
      </c>
      <c r="E15" s="21" t="s">
        <v>185</v>
      </c>
      <c r="F15" s="2"/>
    </row>
    <row r="16" customFormat="false" ht="18" hidden="false" customHeight="true" outlineLevel="0" collapsed="false">
      <c r="A16" s="22" t="n">
        <v>46419</v>
      </c>
      <c r="B16" s="21" t="s">
        <v>540</v>
      </c>
      <c r="C16" s="21" t="s">
        <v>541</v>
      </c>
      <c r="D16" s="21" t="s">
        <v>537</v>
      </c>
      <c r="E16" s="21" t="s">
        <v>525</v>
      </c>
      <c r="F16" s="2"/>
    </row>
    <row r="17" customFormat="false" ht="31.5" hidden="false" customHeight="true" outlineLevel="0" collapsed="false">
      <c r="A17" s="22" t="n">
        <v>46444</v>
      </c>
      <c r="B17" s="21" t="s">
        <v>542</v>
      </c>
      <c r="C17" s="21" t="s">
        <v>543</v>
      </c>
      <c r="D17" s="21" t="s">
        <v>544</v>
      </c>
      <c r="E17" s="21" t="s">
        <v>68</v>
      </c>
      <c r="F17" s="2"/>
    </row>
    <row r="18" customFormat="false" ht="31.5" hidden="false" customHeight="true" outlineLevel="0" collapsed="false">
      <c r="A18" s="22" t="n">
        <v>46472</v>
      </c>
      <c r="B18" s="21" t="s">
        <v>545</v>
      </c>
      <c r="C18" s="21" t="s">
        <v>546</v>
      </c>
      <c r="D18" s="21" t="s">
        <v>544</v>
      </c>
      <c r="E18" s="21" t="s">
        <v>229</v>
      </c>
      <c r="F18" s="2"/>
    </row>
    <row r="19" customFormat="false" ht="31.5" hidden="false" customHeight="true" outlineLevel="0" collapsed="false">
      <c r="A19" s="22" t="n">
        <v>46507</v>
      </c>
      <c r="B19" s="21" t="s">
        <v>547</v>
      </c>
      <c r="C19" s="21" t="s">
        <v>548</v>
      </c>
      <c r="D19" s="21" t="s">
        <v>544</v>
      </c>
      <c r="E19" s="21" t="s">
        <v>68</v>
      </c>
      <c r="F19" s="2"/>
    </row>
    <row r="20" customFormat="false" ht="18" hidden="false" customHeight="true" outlineLevel="0" collapsed="false">
      <c r="A20" s="22" t="n">
        <v>46517</v>
      </c>
      <c r="B20" s="21" t="s">
        <v>549</v>
      </c>
      <c r="C20" s="21" t="s">
        <v>550</v>
      </c>
      <c r="D20" s="21" t="s">
        <v>544</v>
      </c>
      <c r="E20" s="21" t="s">
        <v>525</v>
      </c>
      <c r="F20" s="2"/>
    </row>
    <row r="21" customFormat="false" ht="31.5" hidden="false" customHeight="true" outlineLevel="0" collapsed="false">
      <c r="A21" s="22" t="n">
        <v>46598</v>
      </c>
      <c r="B21" s="21" t="s">
        <v>551</v>
      </c>
      <c r="C21" s="21" t="s">
        <v>552</v>
      </c>
      <c r="D21" s="21" t="s">
        <v>553</v>
      </c>
      <c r="E21" s="21" t="s">
        <v>77</v>
      </c>
      <c r="F21" s="2"/>
    </row>
    <row r="22" customFormat="false" ht="31.5" hidden="false" customHeight="true" outlineLevel="0" collapsed="false">
      <c r="A22" s="22" t="n">
        <v>46626</v>
      </c>
      <c r="B22" s="21" t="s">
        <v>554</v>
      </c>
      <c r="C22" s="21" t="s">
        <v>555</v>
      </c>
      <c r="D22" s="21" t="s">
        <v>556</v>
      </c>
      <c r="E22" s="21" t="s">
        <v>263</v>
      </c>
      <c r="F22" s="2"/>
    </row>
    <row r="23" customFormat="false" ht="31.5" hidden="false" customHeight="true" outlineLevel="0" collapsed="false">
      <c r="A23" s="22" t="n">
        <v>46689</v>
      </c>
      <c r="B23" s="21" t="s">
        <v>557</v>
      </c>
      <c r="C23" s="21" t="s">
        <v>558</v>
      </c>
      <c r="D23" s="21" t="s">
        <v>556</v>
      </c>
      <c r="E23" s="21" t="s">
        <v>127</v>
      </c>
      <c r="F23" s="2"/>
    </row>
    <row r="24" customFormat="false" ht="18" hidden="false" customHeight="true" outlineLevel="0" collapsed="false">
      <c r="A24" s="22" t="n">
        <v>46692</v>
      </c>
      <c r="B24" s="21" t="s">
        <v>388</v>
      </c>
      <c r="C24" s="21" t="s">
        <v>559</v>
      </c>
      <c r="D24" s="21" t="s">
        <v>556</v>
      </c>
      <c r="E24" s="21" t="s">
        <v>68</v>
      </c>
      <c r="F24" s="2"/>
    </row>
    <row r="25" customFormat="false" ht="15" hidden="false" customHeight="false" outlineLevel="0" collapsed="false">
      <c r="A25" s="2"/>
      <c r="B25" s="2"/>
      <c r="C25" s="2"/>
      <c r="D25" s="2"/>
      <c r="E25" s="2"/>
      <c r="F25" s="2"/>
    </row>
    <row r="26" customFormat="false" ht="15" hidden="false" customHeight="false" outlineLevel="0" collapsed="false">
      <c r="A26" s="2"/>
      <c r="B26" s="2"/>
      <c r="C26" s="2"/>
      <c r="D26" s="2"/>
      <c r="E26" s="2"/>
      <c r="F26" s="2"/>
    </row>
    <row r="27" customFormat="false" ht="15" hidden="false" customHeight="false" outlineLevel="0" collapsed="false">
      <c r="A27" s="15" t="s">
        <v>560</v>
      </c>
      <c r="B27" s="2"/>
      <c r="C27" s="2"/>
      <c r="D27" s="2"/>
      <c r="E27" s="2"/>
      <c r="F27" s="2"/>
    </row>
    <row r="28" customFormat="false" ht="15" hidden="false" customHeight="false" outlineLevel="0" collapsed="false">
      <c r="A28" s="25" t="s">
        <v>60</v>
      </c>
      <c r="B28" s="25" t="s">
        <v>561</v>
      </c>
      <c r="C28" s="25" t="s">
        <v>562</v>
      </c>
      <c r="D28" s="25" t="s">
        <v>563</v>
      </c>
      <c r="E28" s="25" t="s">
        <v>564</v>
      </c>
      <c r="F28" s="25" t="s">
        <v>565</v>
      </c>
    </row>
    <row r="29" customFormat="false" ht="30" hidden="false" customHeight="true" outlineLevel="0" collapsed="false">
      <c r="A29" s="21" t="s">
        <v>566</v>
      </c>
      <c r="B29" s="21" t="s">
        <v>567</v>
      </c>
      <c r="C29" s="21" t="s">
        <v>568</v>
      </c>
      <c r="D29" s="21" t="s">
        <v>569</v>
      </c>
      <c r="E29" s="21" t="s">
        <v>569</v>
      </c>
      <c r="F29" s="21" t="s">
        <v>569</v>
      </c>
    </row>
    <row r="30" customFormat="false" ht="30" hidden="false" customHeight="true" outlineLevel="0" collapsed="false">
      <c r="A30" s="21" t="s">
        <v>570</v>
      </c>
      <c r="B30" s="21" t="s">
        <v>571</v>
      </c>
      <c r="C30" s="21" t="s">
        <v>572</v>
      </c>
      <c r="D30" s="22" t="n">
        <v>46374</v>
      </c>
      <c r="E30" s="22" t="n">
        <v>46444</v>
      </c>
      <c r="F30" s="22" t="n">
        <v>46598</v>
      </c>
    </row>
    <row r="31" customFormat="false" ht="30" hidden="false" customHeight="true" outlineLevel="0" collapsed="false">
      <c r="A31" s="21" t="s">
        <v>573</v>
      </c>
      <c r="B31" s="21" t="s">
        <v>574</v>
      </c>
      <c r="C31" s="21" t="s">
        <v>575</v>
      </c>
      <c r="D31" s="22" t="n">
        <v>46507</v>
      </c>
      <c r="E31" s="22" t="n">
        <v>46563</v>
      </c>
      <c r="F31" s="22" t="n">
        <v>46689</v>
      </c>
    </row>
    <row r="32" customFormat="false" ht="30" hidden="false" customHeight="true" outlineLevel="0" collapsed="false">
      <c r="A32" s="21" t="s">
        <v>576</v>
      </c>
      <c r="B32" s="21" t="s">
        <v>577</v>
      </c>
      <c r="C32" s="21" t="s">
        <v>578</v>
      </c>
      <c r="D32" s="22" t="n">
        <v>46626</v>
      </c>
      <c r="E32" s="21" t="s">
        <v>579</v>
      </c>
      <c r="F32" s="21" t="s">
        <v>579</v>
      </c>
    </row>
    <row r="33" customFormat="false" ht="30" hidden="false" customHeight="true" outlineLevel="0" collapsed="false">
      <c r="A33" s="21" t="s">
        <v>580</v>
      </c>
      <c r="B33" s="21" t="s">
        <v>581</v>
      </c>
      <c r="C33" s="21" t="s">
        <v>582</v>
      </c>
      <c r="D33" s="21" t="s">
        <v>583</v>
      </c>
      <c r="E33" s="21" t="s">
        <v>579</v>
      </c>
      <c r="F33" s="21" t="s">
        <v>584</v>
      </c>
    </row>
    <row r="34" customFormat="false" ht="15" hidden="false" customHeight="false" outlineLevel="0" collapsed="false">
      <c r="A34" s="2"/>
      <c r="B34" s="2"/>
      <c r="C34" s="2"/>
      <c r="D34" s="2"/>
      <c r="E34" s="2"/>
      <c r="F34" s="2"/>
    </row>
    <row r="35" customFormat="false" ht="15" hidden="false" customHeight="false" outlineLevel="0" collapsed="false">
      <c r="A35" s="3" t="s">
        <v>585</v>
      </c>
      <c r="B35" s="2"/>
      <c r="C35" s="2"/>
      <c r="D35" s="2"/>
      <c r="E35" s="2"/>
      <c r="F35" s="2"/>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64"/>
    <col collapsed="false" customWidth="true" hidden="false" outlineLevel="0" max="4" min="4" style="0" width="17"/>
    <col collapsed="false" customWidth="true" hidden="false" outlineLevel="0" max="5" min="5" style="0" width="24"/>
    <col collapsed="false" customWidth="true" hidden="false" outlineLevel="0" max="6" min="6" style="0" width="12"/>
    <col collapsed="false" customWidth="true" hidden="false" outlineLevel="0" max="7" min="7" style="0" width="30"/>
  </cols>
  <sheetData>
    <row r="1" customFormat="false" ht="24" hidden="false" customHeight="true" outlineLevel="0" collapsed="false">
      <c r="A1" s="1" t="s">
        <v>586</v>
      </c>
      <c r="B1" s="2"/>
      <c r="C1" s="2"/>
      <c r="D1" s="2"/>
      <c r="E1" s="2"/>
      <c r="F1" s="2"/>
      <c r="G1" s="2"/>
    </row>
    <row r="2" customFormat="false" ht="15" hidden="false" customHeight="false" outlineLevel="0" collapsed="false">
      <c r="A2" s="3" t="s">
        <v>587</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49</v>
      </c>
      <c r="B4" s="6" t="s">
        <v>588</v>
      </c>
      <c r="C4" s="6" t="s">
        <v>589</v>
      </c>
      <c r="D4" s="6" t="s">
        <v>590</v>
      </c>
      <c r="E4" s="6" t="s">
        <v>591</v>
      </c>
      <c r="F4" s="6" t="s">
        <v>54</v>
      </c>
      <c r="G4" s="6" t="s">
        <v>592</v>
      </c>
    </row>
    <row r="5" customFormat="false" ht="45" hidden="false" customHeight="true" outlineLevel="0" collapsed="false">
      <c r="A5" s="21" t="s">
        <v>593</v>
      </c>
      <c r="B5" s="21" t="s">
        <v>594</v>
      </c>
      <c r="C5" s="21" t="s">
        <v>595</v>
      </c>
      <c r="D5" s="22" t="n">
        <v>46321</v>
      </c>
      <c r="E5" s="21" t="s">
        <v>525</v>
      </c>
      <c r="F5" s="21" t="s">
        <v>596</v>
      </c>
      <c r="G5" s="42"/>
    </row>
    <row r="6" customFormat="false" ht="31.5" hidden="false" customHeight="true" outlineLevel="0" collapsed="false">
      <c r="A6" s="21" t="s">
        <v>597</v>
      </c>
      <c r="B6" s="21" t="s">
        <v>598</v>
      </c>
      <c r="C6" s="21" t="s">
        <v>599</v>
      </c>
      <c r="D6" s="22" t="n">
        <v>46323</v>
      </c>
      <c r="E6" s="21" t="s">
        <v>600</v>
      </c>
      <c r="F6" s="21" t="s">
        <v>596</v>
      </c>
      <c r="G6" s="42"/>
    </row>
    <row r="7" customFormat="false" ht="58.5" hidden="false" customHeight="true" outlineLevel="0" collapsed="false">
      <c r="A7" s="21" t="s">
        <v>601</v>
      </c>
      <c r="B7" s="21" t="s">
        <v>602</v>
      </c>
      <c r="C7" s="21" t="s">
        <v>603</v>
      </c>
      <c r="D7" s="22" t="n">
        <v>46321</v>
      </c>
      <c r="E7" s="21" t="s">
        <v>525</v>
      </c>
      <c r="F7" s="21" t="s">
        <v>596</v>
      </c>
      <c r="G7" s="42"/>
    </row>
    <row r="8" customFormat="false" ht="58.5" hidden="false" customHeight="true" outlineLevel="0" collapsed="false">
      <c r="A8" s="21" t="s">
        <v>604</v>
      </c>
      <c r="B8" s="21" t="s">
        <v>605</v>
      </c>
      <c r="C8" s="21" t="s">
        <v>606</v>
      </c>
      <c r="D8" s="22" t="n">
        <v>46335</v>
      </c>
      <c r="E8" s="21" t="s">
        <v>525</v>
      </c>
      <c r="F8" s="21" t="s">
        <v>596</v>
      </c>
      <c r="G8" s="42"/>
    </row>
    <row r="9" customFormat="false" ht="31.5" hidden="false" customHeight="true" outlineLevel="0" collapsed="false">
      <c r="A9" s="21" t="s">
        <v>607</v>
      </c>
      <c r="B9" s="21" t="s">
        <v>608</v>
      </c>
      <c r="C9" s="21" t="s">
        <v>609</v>
      </c>
      <c r="D9" s="22" t="n">
        <v>46321</v>
      </c>
      <c r="E9" s="21" t="s">
        <v>610</v>
      </c>
      <c r="F9" s="21" t="s">
        <v>596</v>
      </c>
      <c r="G9" s="42"/>
    </row>
    <row r="10" customFormat="false" ht="31.5" hidden="false" customHeight="true" outlineLevel="0" collapsed="false">
      <c r="A10" s="21" t="s">
        <v>611</v>
      </c>
      <c r="B10" s="21" t="s">
        <v>612</v>
      </c>
      <c r="C10" s="21" t="s">
        <v>613</v>
      </c>
      <c r="D10" s="22" t="n">
        <v>46335</v>
      </c>
      <c r="E10" s="21" t="s">
        <v>525</v>
      </c>
      <c r="F10" s="21" t="s">
        <v>596</v>
      </c>
      <c r="G10" s="42"/>
    </row>
    <row r="11" customFormat="false" ht="31.5" hidden="false" customHeight="true" outlineLevel="0" collapsed="false">
      <c r="A11" s="21" t="s">
        <v>614</v>
      </c>
      <c r="B11" s="21" t="s">
        <v>615</v>
      </c>
      <c r="C11" s="21" t="s">
        <v>616</v>
      </c>
      <c r="D11" s="22" t="n">
        <v>46349</v>
      </c>
      <c r="E11" s="21" t="s">
        <v>617</v>
      </c>
      <c r="F11" s="21" t="s">
        <v>596</v>
      </c>
      <c r="G11" s="42"/>
    </row>
    <row r="12" customFormat="false" ht="31.5" hidden="false" customHeight="true" outlineLevel="0" collapsed="false">
      <c r="A12" s="21" t="s">
        <v>618</v>
      </c>
      <c r="B12" s="21" t="s">
        <v>619</v>
      </c>
      <c r="C12" s="21" t="s">
        <v>620</v>
      </c>
      <c r="D12" s="22" t="n">
        <v>46335</v>
      </c>
      <c r="E12" s="21" t="s">
        <v>621</v>
      </c>
      <c r="F12" s="21" t="s">
        <v>596</v>
      </c>
      <c r="G12" s="42"/>
    </row>
    <row r="13" customFormat="false" ht="31.5" hidden="false" customHeight="true" outlineLevel="0" collapsed="false">
      <c r="A13" s="21" t="s">
        <v>622</v>
      </c>
      <c r="B13" s="21" t="s">
        <v>623</v>
      </c>
      <c r="C13" s="21" t="s">
        <v>624</v>
      </c>
      <c r="D13" s="22" t="n">
        <v>46323</v>
      </c>
      <c r="E13" s="21" t="s">
        <v>525</v>
      </c>
      <c r="F13" s="21" t="s">
        <v>596</v>
      </c>
      <c r="G13" s="42"/>
    </row>
    <row r="14" customFormat="false" ht="31.5" hidden="false" customHeight="true" outlineLevel="0" collapsed="false">
      <c r="A14" s="21" t="s">
        <v>625</v>
      </c>
      <c r="B14" s="21" t="s">
        <v>626</v>
      </c>
      <c r="C14" s="21" t="s">
        <v>627</v>
      </c>
      <c r="D14" s="22" t="n">
        <v>46517</v>
      </c>
      <c r="E14" s="21" t="s">
        <v>628</v>
      </c>
      <c r="F14" s="21" t="s">
        <v>596</v>
      </c>
      <c r="G14" s="42"/>
    </row>
    <row r="15" customFormat="false" ht="31.5" hidden="false" customHeight="true" outlineLevel="0" collapsed="false">
      <c r="A15" s="21" t="s">
        <v>629</v>
      </c>
      <c r="B15" s="21" t="s">
        <v>630</v>
      </c>
      <c r="C15" s="21" t="s">
        <v>631</v>
      </c>
      <c r="D15" s="22" t="n">
        <v>46545</v>
      </c>
      <c r="E15" s="21" t="s">
        <v>632</v>
      </c>
      <c r="F15" s="21" t="s">
        <v>596</v>
      </c>
      <c r="G15" s="42"/>
    </row>
    <row r="16" customFormat="false" ht="18" hidden="false" customHeight="true" outlineLevel="0" collapsed="false">
      <c r="A16" s="21" t="s">
        <v>633</v>
      </c>
      <c r="B16" s="21" t="s">
        <v>634</v>
      </c>
      <c r="C16" s="21" t="s">
        <v>635</v>
      </c>
      <c r="D16" s="22" t="n">
        <v>46601</v>
      </c>
      <c r="E16" s="21" t="s">
        <v>636</v>
      </c>
      <c r="F16" s="21" t="s">
        <v>596</v>
      </c>
      <c r="G16" s="42"/>
    </row>
  </sheetData>
  <dataValidations count="1">
    <dataValidation allowBlank="true" errorStyle="stop" operator="between" showDropDown="false" showErrorMessage="false" showInputMessage="false" sqref="F5:F60" type="list">
      <formula1>"Open,Decided,Deferred"</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2"/>
    <col collapsed="false" customWidth="true" hidden="false" outlineLevel="0" max="3" min="3" style="0" width="16"/>
    <col collapsed="false" customWidth="true" hidden="false" outlineLevel="0" max="4" min="4" style="0" width="26"/>
    <col collapsed="false" customWidth="true" hidden="false" outlineLevel="0" max="5" min="5" style="0" width="22"/>
    <col collapsed="false" customWidth="true" hidden="false" outlineLevel="0" max="6" min="6" style="0" width="17"/>
    <col collapsed="false" customWidth="true" hidden="false" outlineLevel="0" max="7" min="7" style="0" width="8"/>
  </cols>
  <sheetData>
    <row r="1" customFormat="false" ht="24" hidden="false" customHeight="true" outlineLevel="0" collapsed="false">
      <c r="A1" s="1" t="s">
        <v>598</v>
      </c>
      <c r="B1" s="2"/>
      <c r="C1" s="2"/>
      <c r="D1" s="2"/>
      <c r="E1" s="2"/>
      <c r="F1" s="2"/>
      <c r="G1" s="2"/>
    </row>
    <row r="2" customFormat="false" ht="15" hidden="false" customHeight="false" outlineLevel="0" collapsed="false">
      <c r="A2" s="3" t="s">
        <v>637</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638</v>
      </c>
      <c r="B4" s="6" t="s">
        <v>639</v>
      </c>
      <c r="C4" s="6" t="s">
        <v>640</v>
      </c>
      <c r="D4" s="6" t="s">
        <v>641</v>
      </c>
      <c r="E4" s="6" t="s">
        <v>642</v>
      </c>
      <c r="F4" s="6" t="s">
        <v>643</v>
      </c>
      <c r="G4" s="6" t="s">
        <v>644</v>
      </c>
    </row>
    <row r="5" customFormat="false" ht="18" hidden="false" customHeight="true" outlineLevel="0" collapsed="false">
      <c r="A5" s="21" t="s">
        <v>645</v>
      </c>
      <c r="B5" s="21" t="s">
        <v>646</v>
      </c>
      <c r="C5" s="21" t="s">
        <v>647</v>
      </c>
      <c r="D5" s="21"/>
      <c r="E5" s="42" t="s">
        <v>648</v>
      </c>
      <c r="F5" s="22" t="n">
        <v>46321</v>
      </c>
      <c r="G5" s="30" t="n">
        <v>0</v>
      </c>
    </row>
    <row r="6" customFormat="false" ht="18" hidden="false" customHeight="true" outlineLevel="0" collapsed="false">
      <c r="A6" s="21" t="s">
        <v>77</v>
      </c>
      <c r="B6" s="21" t="s">
        <v>649</v>
      </c>
      <c r="C6" s="21" t="s">
        <v>650</v>
      </c>
      <c r="D6" s="21"/>
      <c r="E6" s="42" t="s">
        <v>651</v>
      </c>
      <c r="F6" s="22" t="n">
        <v>46321</v>
      </c>
      <c r="G6" s="30" t="n">
        <v>0</v>
      </c>
    </row>
    <row r="7" customFormat="false" ht="31.5" hidden="false" customHeight="true" outlineLevel="0" collapsed="false">
      <c r="A7" s="21" t="s">
        <v>652</v>
      </c>
      <c r="B7" s="21" t="s">
        <v>653</v>
      </c>
      <c r="C7" s="21" t="s">
        <v>654</v>
      </c>
      <c r="D7" s="21"/>
      <c r="E7" s="21" t="s">
        <v>655</v>
      </c>
      <c r="F7" s="22" t="n">
        <v>46321</v>
      </c>
      <c r="G7" s="30" t="n">
        <v>1</v>
      </c>
    </row>
    <row r="8" customFormat="false" ht="31.5" hidden="false" customHeight="true" outlineLevel="0" collapsed="false">
      <c r="A8" s="21" t="s">
        <v>656</v>
      </c>
      <c r="B8" s="21" t="s">
        <v>657</v>
      </c>
      <c r="C8" s="21" t="s">
        <v>658</v>
      </c>
      <c r="D8" s="21" t="s">
        <v>659</v>
      </c>
      <c r="E8" s="42"/>
      <c r="F8" s="22" t="n">
        <v>46328</v>
      </c>
      <c r="G8" s="30" t="n">
        <v>2</v>
      </c>
    </row>
    <row r="9" customFormat="false" ht="18" hidden="false" customHeight="true" outlineLevel="0" collapsed="false">
      <c r="A9" s="21" t="s">
        <v>660</v>
      </c>
      <c r="B9" s="21" t="s">
        <v>661</v>
      </c>
      <c r="C9" s="21" t="s">
        <v>662</v>
      </c>
      <c r="D9" s="21" t="s">
        <v>659</v>
      </c>
      <c r="E9" s="42"/>
      <c r="F9" s="22" t="n">
        <v>46328</v>
      </c>
      <c r="G9" s="30" t="n">
        <v>2</v>
      </c>
    </row>
    <row r="10" customFormat="false" ht="18" hidden="false" customHeight="true" outlineLevel="0" collapsed="false">
      <c r="A10" s="21" t="s">
        <v>663</v>
      </c>
      <c r="B10" s="21" t="s">
        <v>664</v>
      </c>
      <c r="C10" s="21" t="s">
        <v>665</v>
      </c>
      <c r="D10" s="21" t="s">
        <v>659</v>
      </c>
      <c r="E10" s="42"/>
      <c r="F10" s="22" t="n">
        <v>46328</v>
      </c>
      <c r="G10" s="30" t="n">
        <v>1</v>
      </c>
    </row>
    <row r="11" customFormat="false" ht="31.5" hidden="false" customHeight="true" outlineLevel="0" collapsed="false">
      <c r="A11" s="21" t="s">
        <v>666</v>
      </c>
      <c r="B11" s="21" t="s">
        <v>667</v>
      </c>
      <c r="C11" s="21" t="s">
        <v>665</v>
      </c>
      <c r="D11" s="21" t="s">
        <v>668</v>
      </c>
      <c r="E11" s="42" t="s">
        <v>669</v>
      </c>
      <c r="F11" s="22" t="n">
        <v>46328</v>
      </c>
      <c r="G11" s="30" t="n">
        <v>1</v>
      </c>
    </row>
    <row r="12" customFormat="false" ht="31.5" hidden="false" customHeight="true" outlineLevel="0" collapsed="false">
      <c r="A12" s="21" t="s">
        <v>670</v>
      </c>
      <c r="B12" s="21" t="s">
        <v>671</v>
      </c>
      <c r="C12" s="21" t="s">
        <v>665</v>
      </c>
      <c r="D12" s="21" t="s">
        <v>672</v>
      </c>
      <c r="E12" s="42" t="s">
        <v>673</v>
      </c>
      <c r="F12" s="22" t="n">
        <v>46328</v>
      </c>
      <c r="G12" s="30" t="n">
        <v>1</v>
      </c>
    </row>
    <row r="13" customFormat="false" ht="18" hidden="false" customHeight="true" outlineLevel="0" collapsed="false">
      <c r="A13" s="21" t="s">
        <v>270</v>
      </c>
      <c r="B13" s="21" t="s">
        <v>674</v>
      </c>
      <c r="C13" s="21" t="s">
        <v>650</v>
      </c>
      <c r="D13" s="21" t="s">
        <v>563</v>
      </c>
      <c r="E13" s="42"/>
      <c r="F13" s="22" t="n">
        <v>46321</v>
      </c>
      <c r="G13" s="30" t="n">
        <v>0</v>
      </c>
    </row>
    <row r="14" customFormat="false" ht="18" hidden="false" customHeight="true" outlineLevel="0" collapsed="false">
      <c r="A14" s="21" t="s">
        <v>675</v>
      </c>
      <c r="B14" s="21" t="s">
        <v>676</v>
      </c>
      <c r="C14" s="21" t="s">
        <v>650</v>
      </c>
      <c r="D14" s="21" t="s">
        <v>677</v>
      </c>
      <c r="E14" s="42"/>
      <c r="F14" s="22" t="n">
        <v>46335</v>
      </c>
      <c r="G14" s="30" t="n">
        <v>0</v>
      </c>
    </row>
    <row r="15" customFormat="false" ht="15" hidden="false" customHeight="false" outlineLevel="0" collapsed="false">
      <c r="A15" s="15" t="s">
        <v>678</v>
      </c>
      <c r="B15" s="2"/>
      <c r="C15" s="2"/>
      <c r="D15" s="2"/>
      <c r="E15" s="2"/>
      <c r="F15" s="2"/>
      <c r="G15" s="43" t="n">
        <f aca="false">SUM(G5:G14)-G7</f>
        <v>7</v>
      </c>
    </row>
    <row r="16" customFormat="false" ht="15" hidden="false" customHeight="false" outlineLevel="0" collapsed="false">
      <c r="A16" s="3" t="s">
        <v>679</v>
      </c>
      <c r="B16" s="2"/>
      <c r="C16" s="2"/>
      <c r="D16" s="2"/>
      <c r="E16" s="2"/>
      <c r="F16" s="2"/>
      <c r="G16" s="2"/>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40"/>
    <col collapsed="false" customWidth="true" hidden="false" outlineLevel="0" max="4" min="4" style="0" width="34"/>
    <col collapsed="false" customWidth="true" hidden="false" outlineLevel="0" max="5" min="5" style="0" width="30"/>
    <col collapsed="false" customWidth="true" hidden="false" outlineLevel="0" max="6" min="6" style="0" width="22"/>
    <col collapsed="false" customWidth="true" hidden="false" outlineLevel="0" max="7" min="7" style="0" width="24"/>
  </cols>
  <sheetData>
    <row r="1" customFormat="false" ht="24" hidden="false" customHeight="true" outlineLevel="0" collapsed="false">
      <c r="A1" s="1" t="s">
        <v>680</v>
      </c>
      <c r="B1" s="2"/>
      <c r="C1" s="2"/>
      <c r="D1" s="2"/>
      <c r="E1" s="2"/>
      <c r="F1" s="2"/>
      <c r="G1" s="2"/>
    </row>
    <row r="2" customFormat="false" ht="15" hidden="false" customHeight="false" outlineLevel="0" collapsed="false">
      <c r="A2" s="3" t="s">
        <v>681</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682</v>
      </c>
      <c r="B4" s="6" t="s">
        <v>683</v>
      </c>
      <c r="C4" s="6" t="s">
        <v>684</v>
      </c>
      <c r="D4" s="6" t="s">
        <v>685</v>
      </c>
      <c r="E4" s="6" t="s">
        <v>686</v>
      </c>
      <c r="F4" s="6" t="s">
        <v>687</v>
      </c>
      <c r="G4" s="6" t="s">
        <v>57</v>
      </c>
    </row>
    <row r="5" customFormat="false" ht="31.5" hidden="false" customHeight="true" outlineLevel="0" collapsed="false">
      <c r="A5" s="21" t="s">
        <v>688</v>
      </c>
      <c r="B5" s="21" t="s">
        <v>689</v>
      </c>
      <c r="C5" s="21" t="s">
        <v>690</v>
      </c>
      <c r="D5" s="21" t="s">
        <v>691</v>
      </c>
      <c r="E5" s="21" t="s">
        <v>692</v>
      </c>
      <c r="F5" s="21" t="s">
        <v>693</v>
      </c>
      <c r="G5" s="21" t="s">
        <v>229</v>
      </c>
    </row>
    <row r="6" customFormat="false" ht="31.5" hidden="false" customHeight="true" outlineLevel="0" collapsed="false">
      <c r="A6" s="21" t="s">
        <v>694</v>
      </c>
      <c r="B6" s="21" t="s">
        <v>695</v>
      </c>
      <c r="C6" s="21" t="s">
        <v>696</v>
      </c>
      <c r="D6" s="21" t="s">
        <v>697</v>
      </c>
      <c r="E6" s="21" t="s">
        <v>698</v>
      </c>
      <c r="F6" s="21" t="s">
        <v>693</v>
      </c>
      <c r="G6" s="21" t="s">
        <v>229</v>
      </c>
    </row>
    <row r="7" customFormat="false" ht="18" hidden="false" customHeight="true" outlineLevel="0" collapsed="false">
      <c r="A7" s="21" t="s">
        <v>699</v>
      </c>
      <c r="B7" s="21" t="s">
        <v>695</v>
      </c>
      <c r="C7" s="21" t="s">
        <v>700</v>
      </c>
      <c r="D7" s="21" t="s">
        <v>701</v>
      </c>
      <c r="E7" s="21"/>
      <c r="F7" s="21" t="s">
        <v>702</v>
      </c>
      <c r="G7" s="21" t="s">
        <v>229</v>
      </c>
    </row>
    <row r="8" customFormat="false" ht="31.5" hidden="false" customHeight="true" outlineLevel="0" collapsed="false">
      <c r="A8" s="21" t="s">
        <v>703</v>
      </c>
      <c r="B8" s="21" t="s">
        <v>704</v>
      </c>
      <c r="C8" s="21" t="s">
        <v>705</v>
      </c>
      <c r="D8" s="21" t="s">
        <v>706</v>
      </c>
      <c r="E8" s="21"/>
      <c r="F8" s="21" t="s">
        <v>693</v>
      </c>
      <c r="G8" s="21" t="s">
        <v>229</v>
      </c>
    </row>
    <row r="9" customFormat="false" ht="31.5" hidden="false" customHeight="true" outlineLevel="0" collapsed="false">
      <c r="A9" s="21" t="s">
        <v>707</v>
      </c>
      <c r="B9" s="21" t="s">
        <v>704</v>
      </c>
      <c r="C9" s="21" t="s">
        <v>708</v>
      </c>
      <c r="D9" s="21" t="s">
        <v>709</v>
      </c>
      <c r="E9" s="21"/>
      <c r="F9" s="21" t="s">
        <v>710</v>
      </c>
      <c r="G9" s="21" t="s">
        <v>185</v>
      </c>
    </row>
    <row r="10" customFormat="false" ht="18" hidden="false" customHeight="true" outlineLevel="0" collapsed="false">
      <c r="A10" s="21" t="s">
        <v>711</v>
      </c>
      <c r="B10" s="21" t="s">
        <v>712</v>
      </c>
      <c r="C10" s="21" t="s">
        <v>700</v>
      </c>
      <c r="D10" s="21" t="s">
        <v>713</v>
      </c>
      <c r="E10" s="21"/>
      <c r="F10" s="21" t="s">
        <v>702</v>
      </c>
      <c r="G10" s="21" t="s">
        <v>229</v>
      </c>
    </row>
    <row r="11" customFormat="false" ht="31.5" hidden="false" customHeight="true" outlineLevel="0" collapsed="false">
      <c r="A11" s="21" t="s">
        <v>714</v>
      </c>
      <c r="B11" s="21" t="s">
        <v>712</v>
      </c>
      <c r="C11" s="21" t="s">
        <v>715</v>
      </c>
      <c r="D11" s="21" t="s">
        <v>716</v>
      </c>
      <c r="E11" s="21"/>
      <c r="F11" s="21" t="s">
        <v>693</v>
      </c>
      <c r="G11" s="21" t="s">
        <v>229</v>
      </c>
    </row>
    <row r="12" customFormat="false" ht="31.5" hidden="false" customHeight="true" outlineLevel="0" collapsed="false">
      <c r="A12" s="21" t="s">
        <v>717</v>
      </c>
      <c r="B12" s="21" t="s">
        <v>718</v>
      </c>
      <c r="C12" s="21" t="s">
        <v>719</v>
      </c>
      <c r="D12" s="21" t="s">
        <v>720</v>
      </c>
      <c r="E12" s="21" t="s">
        <v>721</v>
      </c>
      <c r="F12" s="21" t="s">
        <v>702</v>
      </c>
      <c r="G12" s="21" t="s">
        <v>210</v>
      </c>
    </row>
    <row r="13" customFormat="false" ht="31.5" hidden="false" customHeight="true" outlineLevel="0" collapsed="false">
      <c r="A13" s="21" t="s">
        <v>722</v>
      </c>
      <c r="B13" s="21" t="s">
        <v>723</v>
      </c>
      <c r="C13" s="21" t="s">
        <v>724</v>
      </c>
      <c r="D13" s="21" t="s">
        <v>725</v>
      </c>
      <c r="E13" s="21"/>
      <c r="F13" s="21" t="s">
        <v>726</v>
      </c>
      <c r="G13" s="21" t="s">
        <v>229</v>
      </c>
    </row>
    <row r="14" customFormat="false" ht="31.5" hidden="false" customHeight="true" outlineLevel="0" collapsed="false">
      <c r="A14" s="21" t="s">
        <v>727</v>
      </c>
      <c r="B14" s="21" t="s">
        <v>723</v>
      </c>
      <c r="C14" s="21" t="s">
        <v>728</v>
      </c>
      <c r="D14" s="21" t="s">
        <v>729</v>
      </c>
      <c r="E14" s="21"/>
      <c r="F14" s="21" t="s">
        <v>730</v>
      </c>
      <c r="G14" s="21" t="s">
        <v>229</v>
      </c>
    </row>
    <row r="15" customFormat="false" ht="31.5" hidden="false" customHeight="true" outlineLevel="0" collapsed="false">
      <c r="A15" s="21" t="s">
        <v>731</v>
      </c>
      <c r="B15" s="21" t="s">
        <v>732</v>
      </c>
      <c r="C15" s="21" t="s">
        <v>733</v>
      </c>
      <c r="D15" s="21" t="s">
        <v>734</v>
      </c>
      <c r="E15" s="21" t="s">
        <v>735</v>
      </c>
      <c r="F15" s="21" t="s">
        <v>736</v>
      </c>
      <c r="G15" s="21" t="s">
        <v>263</v>
      </c>
    </row>
    <row r="16" customFormat="false" ht="31.5" hidden="false" customHeight="true" outlineLevel="0" collapsed="false">
      <c r="A16" s="21" t="s">
        <v>737</v>
      </c>
      <c r="B16" s="21" t="s">
        <v>732</v>
      </c>
      <c r="C16" s="21" t="s">
        <v>738</v>
      </c>
      <c r="D16" s="21" t="s">
        <v>739</v>
      </c>
      <c r="E16" s="21"/>
      <c r="F16" s="21" t="s">
        <v>702</v>
      </c>
      <c r="G16" s="21" t="s">
        <v>263</v>
      </c>
    </row>
    <row r="17" customFormat="false" ht="45" hidden="false" customHeight="true" outlineLevel="0" collapsed="false">
      <c r="A17" s="21" t="s">
        <v>740</v>
      </c>
      <c r="B17" s="21" t="s">
        <v>741</v>
      </c>
      <c r="C17" s="21" t="s">
        <v>742</v>
      </c>
      <c r="D17" s="21" t="s">
        <v>743</v>
      </c>
      <c r="E17" s="21"/>
      <c r="F17" s="21" t="s">
        <v>744</v>
      </c>
      <c r="G17" s="21" t="s">
        <v>185</v>
      </c>
    </row>
    <row r="18" customFormat="false" ht="31.5" hidden="false" customHeight="true" outlineLevel="0" collapsed="false">
      <c r="A18" s="21" t="s">
        <v>745</v>
      </c>
      <c r="B18" s="21" t="s">
        <v>741</v>
      </c>
      <c r="C18" s="21" t="s">
        <v>746</v>
      </c>
      <c r="D18" s="21" t="s">
        <v>747</v>
      </c>
      <c r="E18" s="21"/>
      <c r="F18" s="21" t="s">
        <v>748</v>
      </c>
      <c r="G18" s="21" t="s">
        <v>229</v>
      </c>
    </row>
    <row r="19" customFormat="false" ht="45" hidden="false" customHeight="true" outlineLevel="0" collapsed="false">
      <c r="A19" s="21" t="s">
        <v>749</v>
      </c>
      <c r="B19" s="21" t="s">
        <v>741</v>
      </c>
      <c r="C19" s="21" t="s">
        <v>750</v>
      </c>
      <c r="D19" s="21" t="s">
        <v>751</v>
      </c>
      <c r="E19" s="21"/>
      <c r="F19" s="21" t="s">
        <v>752</v>
      </c>
      <c r="G19" s="21" t="s">
        <v>229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2"/>
    <col collapsed="false" customWidth="true" hidden="false" outlineLevel="0" max="4" min="4" style="0" width="10"/>
    <col collapsed="false" customWidth="true" hidden="false" outlineLevel="0" max="5" min="5" style="0" width="60"/>
    <col collapsed="false" customWidth="true" hidden="false" outlineLevel="0" max="6" min="6" style="0" width="22"/>
    <col collapsed="false" customWidth="true" hidden="false" outlineLevel="0" max="7" min="7" style="0" width="10"/>
  </cols>
  <sheetData>
    <row r="1" customFormat="false" ht="24" hidden="false" customHeight="true" outlineLevel="0" collapsed="false">
      <c r="A1" s="1" t="s">
        <v>753</v>
      </c>
      <c r="B1" s="2"/>
      <c r="C1" s="2"/>
      <c r="D1" s="2"/>
      <c r="E1" s="2"/>
      <c r="F1" s="2"/>
      <c r="G1" s="2"/>
    </row>
    <row r="2" customFormat="false" ht="15" hidden="false" customHeight="false" outlineLevel="0" collapsed="false">
      <c r="A2" s="3" t="s">
        <v>754</v>
      </c>
      <c r="B2" s="2"/>
      <c r="C2" s="2"/>
      <c r="D2" s="2"/>
      <c r="E2" s="2"/>
      <c r="F2" s="2"/>
      <c r="G2" s="2"/>
    </row>
    <row r="3" customFormat="false" ht="15" hidden="false" customHeight="false" outlineLevel="0" collapsed="false">
      <c r="A3" s="2"/>
      <c r="B3" s="2"/>
      <c r="C3" s="2"/>
      <c r="D3" s="2"/>
      <c r="E3" s="2"/>
      <c r="F3" s="2"/>
      <c r="G3" s="2"/>
    </row>
    <row r="4" customFormat="false" ht="30" hidden="false" customHeight="true" outlineLevel="0" collapsed="false">
      <c r="A4" s="6" t="s">
        <v>49</v>
      </c>
      <c r="B4" s="6" t="s">
        <v>755</v>
      </c>
      <c r="C4" s="6" t="s">
        <v>756</v>
      </c>
      <c r="D4" s="6" t="s">
        <v>757</v>
      </c>
      <c r="E4" s="6" t="s">
        <v>758</v>
      </c>
      <c r="F4" s="6" t="s">
        <v>57</v>
      </c>
      <c r="G4" s="6" t="s">
        <v>54</v>
      </c>
    </row>
    <row r="5" customFormat="false" ht="31.5" hidden="false" customHeight="true" outlineLevel="0" collapsed="false">
      <c r="A5" s="21" t="s">
        <v>759</v>
      </c>
      <c r="B5" s="21" t="s">
        <v>760</v>
      </c>
      <c r="C5" s="21" t="s">
        <v>761</v>
      </c>
      <c r="D5" s="21" t="s">
        <v>762</v>
      </c>
      <c r="E5" s="21" t="s">
        <v>763</v>
      </c>
      <c r="F5" s="21" t="s">
        <v>77</v>
      </c>
      <c r="G5" s="21" t="s">
        <v>596</v>
      </c>
    </row>
    <row r="6" customFormat="false" ht="31.5" hidden="false" customHeight="true" outlineLevel="0" collapsed="false">
      <c r="A6" s="21" t="s">
        <v>764</v>
      </c>
      <c r="B6" s="21" t="s">
        <v>765</v>
      </c>
      <c r="C6" s="21" t="s">
        <v>762</v>
      </c>
      <c r="D6" s="21" t="s">
        <v>761</v>
      </c>
      <c r="E6" s="21" t="s">
        <v>766</v>
      </c>
      <c r="F6" s="21" t="s">
        <v>68</v>
      </c>
      <c r="G6" s="21" t="s">
        <v>596</v>
      </c>
    </row>
    <row r="7" customFormat="false" ht="31.5" hidden="false" customHeight="true" outlineLevel="0" collapsed="false">
      <c r="A7" s="21" t="s">
        <v>767</v>
      </c>
      <c r="B7" s="21" t="s">
        <v>768</v>
      </c>
      <c r="C7" s="21" t="s">
        <v>761</v>
      </c>
      <c r="D7" s="21" t="s">
        <v>762</v>
      </c>
      <c r="E7" s="21" t="s">
        <v>769</v>
      </c>
      <c r="F7" s="21" t="s">
        <v>185</v>
      </c>
      <c r="G7" s="21" t="s">
        <v>596</v>
      </c>
    </row>
    <row r="8" customFormat="false" ht="31.5" hidden="false" customHeight="true" outlineLevel="0" collapsed="false">
      <c r="A8" s="21" t="s">
        <v>770</v>
      </c>
      <c r="B8" s="21" t="s">
        <v>771</v>
      </c>
      <c r="C8" s="21" t="s">
        <v>761</v>
      </c>
      <c r="D8" s="21" t="s">
        <v>762</v>
      </c>
      <c r="E8" s="21" t="s">
        <v>772</v>
      </c>
      <c r="F8" s="21" t="s">
        <v>127</v>
      </c>
      <c r="G8" s="21" t="s">
        <v>596</v>
      </c>
    </row>
    <row r="9" customFormat="false" ht="31.5" hidden="false" customHeight="true" outlineLevel="0" collapsed="false">
      <c r="A9" s="21" t="s">
        <v>773</v>
      </c>
      <c r="B9" s="21" t="s">
        <v>774</v>
      </c>
      <c r="C9" s="21" t="s">
        <v>762</v>
      </c>
      <c r="D9" s="21" t="s">
        <v>761</v>
      </c>
      <c r="E9" s="21" t="s">
        <v>775</v>
      </c>
      <c r="F9" s="21" t="s">
        <v>68</v>
      </c>
      <c r="G9" s="21" t="s">
        <v>596</v>
      </c>
    </row>
    <row r="10" customFormat="false" ht="31.5" hidden="false" customHeight="true" outlineLevel="0" collapsed="false">
      <c r="A10" s="21" t="s">
        <v>776</v>
      </c>
      <c r="B10" s="21" t="s">
        <v>777</v>
      </c>
      <c r="C10" s="21" t="s">
        <v>761</v>
      </c>
      <c r="D10" s="21" t="s">
        <v>762</v>
      </c>
      <c r="E10" s="21" t="s">
        <v>778</v>
      </c>
      <c r="F10" s="21" t="s">
        <v>68</v>
      </c>
      <c r="G10" s="21" t="s">
        <v>596</v>
      </c>
    </row>
    <row r="11" customFormat="false" ht="31.5" hidden="false" customHeight="true" outlineLevel="0" collapsed="false">
      <c r="A11" s="21" t="s">
        <v>779</v>
      </c>
      <c r="B11" s="21" t="s">
        <v>780</v>
      </c>
      <c r="C11" s="21" t="s">
        <v>762</v>
      </c>
      <c r="D11" s="21" t="s">
        <v>761</v>
      </c>
      <c r="E11" s="21" t="s">
        <v>781</v>
      </c>
      <c r="F11" s="21" t="s">
        <v>229</v>
      </c>
      <c r="G11" s="21" t="s">
        <v>596</v>
      </c>
    </row>
    <row r="12" customFormat="false" ht="31.5" hidden="false" customHeight="true" outlineLevel="0" collapsed="false">
      <c r="A12" s="21" t="s">
        <v>782</v>
      </c>
      <c r="B12" s="21" t="s">
        <v>783</v>
      </c>
      <c r="C12" s="21" t="s">
        <v>761</v>
      </c>
      <c r="D12" s="21" t="s">
        <v>762</v>
      </c>
      <c r="E12" s="21" t="s">
        <v>784</v>
      </c>
      <c r="F12" s="21" t="s">
        <v>185</v>
      </c>
      <c r="G12" s="21" t="s">
        <v>596</v>
      </c>
    </row>
    <row r="13" customFormat="false" ht="31.5" hidden="false" customHeight="true" outlineLevel="0" collapsed="false">
      <c r="A13" s="21" t="s">
        <v>785</v>
      </c>
      <c r="B13" s="21" t="s">
        <v>786</v>
      </c>
      <c r="C13" s="21" t="s">
        <v>787</v>
      </c>
      <c r="D13" s="21" t="s">
        <v>762</v>
      </c>
      <c r="E13" s="21" t="s">
        <v>788</v>
      </c>
      <c r="F13" s="21" t="s">
        <v>210</v>
      </c>
      <c r="G13" s="21" t="s">
        <v>596</v>
      </c>
    </row>
    <row r="14" customFormat="false" ht="31.5" hidden="false" customHeight="true" outlineLevel="0" collapsed="false">
      <c r="A14" s="21" t="s">
        <v>789</v>
      </c>
      <c r="B14" s="21" t="s">
        <v>790</v>
      </c>
      <c r="C14" s="21" t="s">
        <v>761</v>
      </c>
      <c r="D14" s="21" t="s">
        <v>761</v>
      </c>
      <c r="E14" s="21" t="s">
        <v>791</v>
      </c>
      <c r="F14" s="21" t="s">
        <v>68</v>
      </c>
      <c r="G14" s="21" t="s">
        <v>596</v>
      </c>
    </row>
    <row r="15" customFormat="false" ht="18" hidden="false" customHeight="true" outlineLevel="0" collapsed="false">
      <c r="A15" s="21" t="s">
        <v>792</v>
      </c>
      <c r="B15" s="21" t="s">
        <v>793</v>
      </c>
      <c r="C15" s="21" t="s">
        <v>761</v>
      </c>
      <c r="D15" s="21" t="s">
        <v>762</v>
      </c>
      <c r="E15" s="21" t="s">
        <v>794</v>
      </c>
      <c r="F15" s="21" t="s">
        <v>77</v>
      </c>
      <c r="G15" s="21" t="s">
        <v>596</v>
      </c>
    </row>
    <row r="16" customFormat="false" ht="18" hidden="false" customHeight="true" outlineLevel="0" collapsed="false">
      <c r="A16" s="21" t="s">
        <v>795</v>
      </c>
      <c r="B16" s="21" t="s">
        <v>796</v>
      </c>
      <c r="C16" s="21" t="s">
        <v>761</v>
      </c>
      <c r="D16" s="21" t="s">
        <v>761</v>
      </c>
      <c r="E16" s="21" t="s">
        <v>797</v>
      </c>
      <c r="F16" s="21" t="s">
        <v>127</v>
      </c>
      <c r="G16" s="21" t="s">
        <v>596</v>
      </c>
    </row>
  </sheetData>
  <conditionalFormatting sqref="C5:C60">
    <cfRule type="cellIs" priority="2" operator="equal" aboveAverage="0" equalAverage="0" bottom="0" percent="0" rank="0" text="" dxfId="13">
      <formula>"High"</formula>
    </cfRule>
  </conditionalFormatting>
  <conditionalFormatting sqref="D5:D60">
    <cfRule type="cellIs" priority="3" operator="equal" aboveAverage="0" equalAverage="0" bottom="0" percent="0" rank="0" text="" dxfId="13">
      <formula>"High"</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62"/>
    <col collapsed="false" customWidth="true" hidden="false" outlineLevel="0" max="3" min="3" style="0" width="56"/>
    <col collapsed="false" customWidth="true" hidden="false" outlineLevel="0" max="4" min="4" style="0" width="60"/>
  </cols>
  <sheetData>
    <row r="1" customFormat="false" ht="24" hidden="false" customHeight="true" outlineLevel="0" collapsed="false">
      <c r="A1" s="1" t="s">
        <v>798</v>
      </c>
      <c r="B1" s="2"/>
      <c r="C1" s="2"/>
      <c r="D1" s="2"/>
    </row>
    <row r="2" customFormat="false" ht="15" hidden="false" customHeight="false" outlineLevel="0" collapsed="false">
      <c r="A2" s="3" t="s">
        <v>799</v>
      </c>
      <c r="B2" s="2"/>
      <c r="C2" s="2"/>
      <c r="D2" s="2"/>
    </row>
    <row r="3" customFormat="false" ht="15" hidden="false" customHeight="false" outlineLevel="0" collapsed="false">
      <c r="A3" s="2"/>
      <c r="B3" s="2"/>
      <c r="C3" s="2"/>
      <c r="D3" s="2"/>
    </row>
    <row r="4" customFormat="false" ht="30" hidden="false" customHeight="true" outlineLevel="0" collapsed="false">
      <c r="A4" s="6" t="s">
        <v>800</v>
      </c>
      <c r="B4" s="6" t="s">
        <v>801</v>
      </c>
      <c r="C4" s="6" t="s">
        <v>802</v>
      </c>
      <c r="D4" s="6" t="s">
        <v>416</v>
      </c>
    </row>
    <row r="5" customFormat="false" ht="45" hidden="false" customHeight="true" outlineLevel="0" collapsed="false">
      <c r="A5" s="21" t="n">
        <v>1</v>
      </c>
      <c r="B5" s="21" t="s">
        <v>803</v>
      </c>
      <c r="C5" s="21" t="s">
        <v>804</v>
      </c>
      <c r="D5" s="44" t="s">
        <v>805</v>
      </c>
    </row>
    <row r="6" customFormat="false" ht="45" hidden="false" customHeight="true" outlineLevel="0" collapsed="false">
      <c r="A6" s="21" t="n">
        <v>2</v>
      </c>
      <c r="B6" s="21" t="s">
        <v>806</v>
      </c>
      <c r="C6" s="21" t="s">
        <v>807</v>
      </c>
      <c r="D6" s="44" t="s">
        <v>808</v>
      </c>
    </row>
    <row r="7" customFormat="false" ht="31.5" hidden="false" customHeight="true" outlineLevel="0" collapsed="false">
      <c r="A7" s="21" t="n">
        <v>3</v>
      </c>
      <c r="B7" s="21" t="s">
        <v>809</v>
      </c>
      <c r="C7" s="21" t="s">
        <v>810</v>
      </c>
      <c r="D7" s="44" t="s">
        <v>811</v>
      </c>
    </row>
    <row r="8" customFormat="false" ht="45" hidden="false" customHeight="true" outlineLevel="0" collapsed="false">
      <c r="A8" s="21" t="n">
        <v>4</v>
      </c>
      <c r="B8" s="21" t="s">
        <v>812</v>
      </c>
      <c r="C8" s="21" t="s">
        <v>813</v>
      </c>
      <c r="D8" s="44" t="s">
        <v>814</v>
      </c>
    </row>
    <row r="9" customFormat="false" ht="31.5" hidden="false" customHeight="true" outlineLevel="0" collapsed="false">
      <c r="A9" s="21" t="n">
        <v>5</v>
      </c>
      <c r="B9" s="21" t="s">
        <v>815</v>
      </c>
      <c r="C9" s="21" t="s">
        <v>816</v>
      </c>
      <c r="D9" s="44" t="s">
        <v>817</v>
      </c>
    </row>
    <row r="10" customFormat="false" ht="45" hidden="false" customHeight="true" outlineLevel="0" collapsed="false">
      <c r="A10" s="21" t="n">
        <v>6</v>
      </c>
      <c r="B10" s="21" t="s">
        <v>818</v>
      </c>
      <c r="C10" s="21" t="s">
        <v>819</v>
      </c>
      <c r="D10" s="44" t="s">
        <v>820</v>
      </c>
    </row>
    <row r="11" customFormat="false" ht="31.5" hidden="false" customHeight="true" outlineLevel="0" collapsed="false">
      <c r="A11" s="21" t="n">
        <v>7</v>
      </c>
      <c r="B11" s="21" t="s">
        <v>821</v>
      </c>
      <c r="C11" s="21" t="s">
        <v>822</v>
      </c>
      <c r="D11" s="44" t="s">
        <v>823</v>
      </c>
    </row>
    <row r="12" customFormat="false" ht="31.5" hidden="false" customHeight="true" outlineLevel="0" collapsed="false">
      <c r="A12" s="21" t="n">
        <v>8</v>
      </c>
      <c r="B12" s="21" t="s">
        <v>824</v>
      </c>
      <c r="C12" s="21" t="s">
        <v>825</v>
      </c>
      <c r="D12" s="44" t="s">
        <v>826</v>
      </c>
    </row>
    <row r="13" customFormat="false" ht="58.5" hidden="false" customHeight="true" outlineLevel="0" collapsed="false">
      <c r="A13" s="21" t="n">
        <v>9</v>
      </c>
      <c r="B13" s="21" t="s">
        <v>827</v>
      </c>
      <c r="C13" s="21" t="s">
        <v>828</v>
      </c>
      <c r="D13" s="21" t="s">
        <v>829</v>
      </c>
    </row>
    <row r="14" customFormat="false" ht="45" hidden="false" customHeight="true" outlineLevel="0" collapsed="false">
      <c r="A14" s="21" t="n">
        <v>10</v>
      </c>
      <c r="B14" s="21" t="s">
        <v>830</v>
      </c>
      <c r="C14" s="21" t="s">
        <v>831</v>
      </c>
      <c r="D14" s="21" t="s">
        <v>832</v>
      </c>
    </row>
    <row r="15" customFormat="false" ht="45" hidden="false" customHeight="true" outlineLevel="0" collapsed="false">
      <c r="A15" s="21" t="n">
        <v>11</v>
      </c>
      <c r="B15" s="21" t="s">
        <v>833</v>
      </c>
      <c r="C15" s="21" t="s">
        <v>834</v>
      </c>
      <c r="D15" s="21" t="s">
        <v>835</v>
      </c>
    </row>
    <row r="16" customFormat="false" ht="45" hidden="false" customHeight="true" outlineLevel="0" collapsed="false">
      <c r="A16" s="21" t="n">
        <v>12</v>
      </c>
      <c r="B16" s="21" t="s">
        <v>836</v>
      </c>
      <c r="C16" s="21" t="s">
        <v>837</v>
      </c>
      <c r="D16" s="21" t="s">
        <v>838</v>
      </c>
    </row>
    <row r="17" customFormat="false" ht="31.5" hidden="false" customHeight="true" outlineLevel="0" collapsed="false">
      <c r="A17" s="21" t="n">
        <v>13</v>
      </c>
      <c r="B17" s="21" t="s">
        <v>839</v>
      </c>
      <c r="C17" s="21" t="s">
        <v>840</v>
      </c>
      <c r="D17" s="21" t="s">
        <v>841</v>
      </c>
    </row>
  </sheetData>
  <hyperlinks>
    <hyperlink ref="D5" r:id="rId1" display="https://code.claude.com/docs/en/plugins"/>
    <hyperlink ref="D6" r:id="rId2" display="https://code.claude.com/docs/en/skills"/>
    <hyperlink ref="D7" r:id="rId3" display="https://code.claude.com/docs/en/hooks"/>
    <hyperlink ref="D8" r:id="rId4" display="https://developers.openai.com/codex/skills"/>
    <hyperlink ref="D9" r:id="rId5" display="https://devops.com/gemini-cli-extensions-bring-customization-to-the-command-line/ (third-party; confirm in the Gemini CLI repository docs)"/>
    <hyperlink ref="D10" r:id="rId6" display="https://fortune.com/2024/10/30/googles-code-ai-sundar-pichai/"/>
    <hyperlink ref="D11" r:id="rId7" display="https://code.claude.com/docs/en/github-actions"/>
    <hyperlink ref="D12" r:id="rId8" display="https://code.claude.com/docs/en/monitoring-usag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LibreOffice/26.2.1.2$MacOSX_X86_64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2026-10-23T08:26:14Z</dcterms:created>
  <dc:creator>openpyxl</dc:creator>
  <dc:description/>
  <dc:language>en-IN</dc:language>
  <cp:lastModifiedBy/>
  <dcterms:modified xsi:type="dcterms:W3CDTF">2026-10-23T08:26:14Z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